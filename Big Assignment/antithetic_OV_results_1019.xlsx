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"/>
    </mc:Choice>
  </mc:AlternateContent>
  <xr:revisionPtr revIDLastSave="0" documentId="8_{6BCF80EF-4A10-CC45-A764-AC55B010BAE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3-12-R1" sheetId="1" r:id="rId1"/>
    <sheet name="S1-16-R2" sheetId="2" r:id="rId2"/>
    <sheet name="S2-14-R4" sheetId="3" r:id="rId3"/>
    <sheet name="S2-10-R3" sheetId="4" r:id="rId4"/>
    <sheet name="S3-16-R3" sheetId="6" r:id="rId5"/>
    <sheet name="S3-14-R2" sheetId="7" r:id="rId6"/>
    <sheet name="S1-14-R1" sheetId="8" r:id="rId7"/>
    <sheet name="S1-10-R2" sheetId="9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5" i="1" l="1"/>
  <c r="C13" i="1"/>
  <c r="A13" i="1"/>
  <c r="C11" i="9"/>
  <c r="B11" i="9"/>
  <c r="A11" i="9"/>
  <c r="C11" i="8"/>
  <c r="B11" i="8"/>
  <c r="A11" i="8"/>
  <c r="A11" i="7"/>
  <c r="C11" i="7"/>
  <c r="B11" i="7"/>
  <c r="C11" i="6"/>
  <c r="B11" i="6"/>
  <c r="A11" i="6"/>
  <c r="C11" i="4"/>
  <c r="B11" i="4"/>
  <c r="A11" i="4"/>
  <c r="C11" i="3"/>
  <c r="B11" i="3"/>
  <c r="A11" i="3"/>
  <c r="C11" i="2"/>
  <c r="B11" i="2"/>
  <c r="C11" i="1"/>
  <c r="B11" i="1"/>
  <c r="A11" i="1"/>
  <c r="A11" i="2"/>
</calcChain>
</file>

<file path=xl/sharedStrings.xml><?xml version="1.0" encoding="utf-8"?>
<sst xmlns="http://schemas.openxmlformats.org/spreadsheetml/2006/main" count="34" uniqueCount="6">
  <si>
    <t>Normal OV</t>
  </si>
  <si>
    <t>Antithetic OV</t>
  </si>
  <si>
    <t>Paired OV</t>
  </si>
  <si>
    <t>var</t>
  </si>
  <si>
    <t>avg</t>
  </si>
  <si>
    <t>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</si>
</sst>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39" workbookViewId="0">
      <selection activeCell="A15" sqref="A15"/>
    </sheetView>
  </sheetViews>
  <sheetFormatPr baseColWidth="10" defaultColWidth="8.83203125" defaultRowHeight="15" x14ac:dyDescent="0.2"/>
  <cols>
    <col min="1" max="1" width="15" customWidth="1"/>
    <col min="2" max="3" width="15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0.38920341436437578</v>
      </c>
      <c r="B2">
        <v>0.40499446527973398</v>
      </c>
      <c r="C2">
        <v>0.39709893982205502</v>
      </c>
    </row>
    <row r="3" spans="1:3" x14ac:dyDescent="0.2">
      <c r="A3">
        <v>0.40510226701280028</v>
      </c>
      <c r="B3">
        <v>0.39506456016075758</v>
      </c>
      <c r="C3">
        <v>0.40008341358677901</v>
      </c>
    </row>
    <row r="4" spans="1:3" x14ac:dyDescent="0.2">
      <c r="A4">
        <v>0.3911301032229173</v>
      </c>
      <c r="B4">
        <v>0.40475864750680352</v>
      </c>
      <c r="C4">
        <v>0.39794437536486038</v>
      </c>
    </row>
    <row r="5" spans="1:3" x14ac:dyDescent="0.2">
      <c r="A5">
        <v>0.39498116135167399</v>
      </c>
      <c r="B5">
        <v>0.41026994148257773</v>
      </c>
      <c r="C5">
        <v>0.40262555141712592</v>
      </c>
    </row>
    <row r="6" spans="1:3" x14ac:dyDescent="0.2">
      <c r="A6">
        <v>0.39749429982964019</v>
      </c>
      <c r="B6">
        <v>0.39885688493782151</v>
      </c>
      <c r="C6">
        <v>0.39817559238373079</v>
      </c>
    </row>
    <row r="7" spans="1:3" x14ac:dyDescent="0.2">
      <c r="A7">
        <v>0.39524911617225689</v>
      </c>
      <c r="B7">
        <v>0.39432795142062088</v>
      </c>
      <c r="C7">
        <v>0.39478853379643891</v>
      </c>
    </row>
    <row r="8" spans="1:3" x14ac:dyDescent="0.2">
      <c r="A8">
        <v>0.40155937269360731</v>
      </c>
      <c r="B8">
        <v>0.40563795172524653</v>
      </c>
      <c r="C8">
        <v>0.40359866220942681</v>
      </c>
    </row>
    <row r="9" spans="1:3" x14ac:dyDescent="0.2">
      <c r="A9">
        <v>0.4056301536877237</v>
      </c>
      <c r="B9">
        <v>0.40383150784387079</v>
      </c>
      <c r="C9">
        <v>0.40473083076579719</v>
      </c>
    </row>
    <row r="10" spans="1:3" x14ac:dyDescent="0.2">
      <c r="A10" t="s">
        <v>3</v>
      </c>
    </row>
    <row r="11" spans="1:3" x14ac:dyDescent="0.2">
      <c r="A11">
        <f>_xlfn.VAR.S(A2:A9)</f>
        <v>3.7311006206975095E-5</v>
      </c>
      <c r="B11">
        <f>_xlfn.VAR.S(B2:B9)</f>
        <v>3.1145507177357262E-5</v>
      </c>
      <c r="C11">
        <f>_xlfn.VAR.S(C2:C9)</f>
        <v>1.2178200704745471E-5</v>
      </c>
    </row>
    <row r="12" spans="1:3" x14ac:dyDescent="0.2">
      <c r="A12" t="s">
        <v>4</v>
      </c>
    </row>
    <row r="13" spans="1:3" x14ac:dyDescent="0.2">
      <c r="A13">
        <f>AVERAGE('S3-12-R1'!A11,'S2-14-R4'!A11,'S2-14-R4'!A11,'S2-10-R3'!A11,'S3-16-R3'!A11,'S3-14-R2'!A11,'S1-14-R1'!A11,'S1-10-R2'!A11)</f>
        <v>2.7766492730197582E-4</v>
      </c>
      <c r="C13">
        <f>AVERAGE('S1-16-R2'!C11,'S2-14-R4'!C11,'S2-10-R3'!C11,'S3-16-R3'!C11,'S3-14-R2'!C11,'S1-14-R1'!C11,'S1-10-R2'!C11,'S3-12-R1'!C11)</f>
        <v>1.4634655845403171E-4</v>
      </c>
    </row>
    <row r="14" spans="1:3" x14ac:dyDescent="0.2">
      <c r="A14" t="s">
        <v>5</v>
      </c>
    </row>
    <row r="15" spans="1:3" x14ac:dyDescent="0.2">
      <c r="A15">
        <f>1-(C13/A13)</f>
        <v>0.47293826456204957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200" workbookViewId="0">
      <selection activeCell="C12" sqref="C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0.44744193633583429</v>
      </c>
      <c r="B2">
        <v>0.54844350469833636</v>
      </c>
      <c r="C2">
        <v>0.49794272051708532</v>
      </c>
    </row>
    <row r="3" spans="1:3" x14ac:dyDescent="0.2">
      <c r="A3">
        <v>0.57015218458525319</v>
      </c>
      <c r="B3">
        <v>0.46711565652402381</v>
      </c>
      <c r="C3">
        <v>0.51863392055463842</v>
      </c>
    </row>
    <row r="4" spans="1:3" x14ac:dyDescent="0.2">
      <c r="A4">
        <v>0.47518128931519621</v>
      </c>
      <c r="B4">
        <v>0.55003895997770325</v>
      </c>
      <c r="C4">
        <v>0.51261012464644973</v>
      </c>
    </row>
    <row r="5" spans="1:3" x14ac:dyDescent="0.2">
      <c r="A5">
        <v>0.47502845119941328</v>
      </c>
      <c r="B5">
        <v>0.51271280966520827</v>
      </c>
      <c r="C5">
        <v>0.49387063043231078</v>
      </c>
    </row>
    <row r="6" spans="1:3" x14ac:dyDescent="0.2">
      <c r="A6">
        <v>0.47339881502156927</v>
      </c>
      <c r="B6">
        <v>0.49736771016977349</v>
      </c>
      <c r="C6">
        <v>0.48538326259567138</v>
      </c>
    </row>
    <row r="7" spans="1:3" x14ac:dyDescent="0.2">
      <c r="A7">
        <v>0.50100995494807443</v>
      </c>
      <c r="B7">
        <v>0.49613029722061242</v>
      </c>
      <c r="C7">
        <v>0.49857012608434342</v>
      </c>
    </row>
    <row r="8" spans="1:3" x14ac:dyDescent="0.2">
      <c r="A8">
        <v>0.54570674148345055</v>
      </c>
      <c r="B8">
        <v>0.57292443368298895</v>
      </c>
      <c r="C8">
        <v>0.55931558758321975</v>
      </c>
    </row>
    <row r="9" spans="1:3" x14ac:dyDescent="0.2">
      <c r="A9">
        <v>0.51023076616719598</v>
      </c>
      <c r="B9">
        <v>0.51187137514211389</v>
      </c>
      <c r="C9">
        <v>0.51105107065465494</v>
      </c>
    </row>
    <row r="10" spans="1:3" x14ac:dyDescent="0.2">
      <c r="A10" t="s">
        <v>3</v>
      </c>
    </row>
    <row r="11" spans="1:3" x14ac:dyDescent="0.2">
      <c r="A11">
        <f>_xlfn.VAR.S(A2:A9)</f>
        <v>1.6893165434619477E-3</v>
      </c>
      <c r="B11">
        <f>_xlfn.VAR.S(B2:B9)</f>
        <v>1.2155487875156663E-3</v>
      </c>
      <c r="C11">
        <f>_xlfn.VAR.S(C2:C9)</f>
        <v>5.2225569524962101E-4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="226" workbookViewId="0">
      <selection activeCell="C12" sqref="C12"/>
    </sheetView>
  </sheetViews>
  <sheetFormatPr baseColWidth="10" defaultColWidth="8.83203125" defaultRowHeight="15" x14ac:dyDescent="0.2"/>
  <cols>
    <col min="3" max="3" width="1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0.38305865819153562</v>
      </c>
      <c r="B2">
        <v>0.42132660076859518</v>
      </c>
      <c r="C2">
        <v>0.4021926294800654</v>
      </c>
    </row>
    <row r="3" spans="1:3" x14ac:dyDescent="0.2">
      <c r="A3">
        <v>0.41708728717411092</v>
      </c>
      <c r="B3">
        <v>0.39345185574491248</v>
      </c>
      <c r="C3">
        <v>0.40526957145951159</v>
      </c>
    </row>
    <row r="4" spans="1:3" x14ac:dyDescent="0.2">
      <c r="A4">
        <v>0.39265749101546071</v>
      </c>
      <c r="B4">
        <v>0.41777304336249621</v>
      </c>
      <c r="C4">
        <v>0.40521526718897838</v>
      </c>
    </row>
    <row r="5" spans="1:3" x14ac:dyDescent="0.2">
      <c r="A5">
        <v>0.39832283280202968</v>
      </c>
      <c r="B5">
        <v>0.41747198622636489</v>
      </c>
      <c r="C5">
        <v>0.40789740951419728</v>
      </c>
    </row>
    <row r="6" spans="1:3" x14ac:dyDescent="0.2">
      <c r="A6">
        <v>0.39662370400105479</v>
      </c>
      <c r="B6">
        <v>0.40245054347799408</v>
      </c>
      <c r="C6">
        <v>0.39953712373952438</v>
      </c>
    </row>
    <row r="7" spans="1:3" x14ac:dyDescent="0.2">
      <c r="A7">
        <v>0.40332843997424689</v>
      </c>
      <c r="B7">
        <v>0.39548002419593342</v>
      </c>
      <c r="C7">
        <v>0.39940423208509018</v>
      </c>
    </row>
    <row r="8" spans="1:3" x14ac:dyDescent="0.2">
      <c r="A8">
        <v>0.40936291644481909</v>
      </c>
      <c r="B8">
        <v>0.41638650563008622</v>
      </c>
      <c r="C8">
        <v>0.41287471103745271</v>
      </c>
    </row>
    <row r="9" spans="1:3" x14ac:dyDescent="0.2">
      <c r="A9">
        <v>0.41217507543948201</v>
      </c>
      <c r="B9">
        <v>0.41728490132236218</v>
      </c>
      <c r="C9">
        <v>0.41472998838092212</v>
      </c>
    </row>
    <row r="10" spans="1:3" x14ac:dyDescent="0.2">
      <c r="A10" t="s">
        <v>3</v>
      </c>
    </row>
    <row r="11" spans="1:3" x14ac:dyDescent="0.2">
      <c r="A11">
        <f>_xlfn.VAR.S(A2:A9)</f>
        <v>1.2488394533697686E-4</v>
      </c>
      <c r="B11">
        <f>_xlfn.VAR.S(B2:B9)</f>
        <v>1.2567638739799822E-4</v>
      </c>
      <c r="C11">
        <f>_xlfn.VAR.S(C2:C9)</f>
        <v>3.2556606089892668E-5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="200" workbookViewId="0">
      <selection activeCell="C12" sqref="C12"/>
    </sheetView>
  </sheetViews>
  <sheetFormatPr baseColWidth="10" defaultColWidth="8.83203125" defaultRowHeight="15" x14ac:dyDescent="0.2"/>
  <cols>
    <col min="1" max="1" width="11.83203125" bestFit="1" customWidth="1"/>
    <col min="2" max="2" width="10.83203125" bestFit="1" customWidth="1"/>
    <col min="3" max="3" width="1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0.40996647342576281</v>
      </c>
      <c r="B2">
        <v>0.42169119394115012</v>
      </c>
      <c r="C2">
        <v>0.41582883368345641</v>
      </c>
    </row>
    <row r="3" spans="1:3" x14ac:dyDescent="0.2">
      <c r="A3">
        <v>0.42373124941697099</v>
      </c>
      <c r="B3">
        <v>0.41691115939488349</v>
      </c>
      <c r="C3">
        <v>0.42032120440592718</v>
      </c>
    </row>
    <row r="4" spans="1:3" x14ac:dyDescent="0.2">
      <c r="A4">
        <v>0.41349791778262363</v>
      </c>
      <c r="B4">
        <v>0.42135869684724331</v>
      </c>
      <c r="C4">
        <v>0.41742830731493341</v>
      </c>
    </row>
    <row r="5" spans="1:3" x14ac:dyDescent="0.2">
      <c r="A5">
        <v>0.41923759530767779</v>
      </c>
      <c r="B5">
        <v>0.43008950809146013</v>
      </c>
      <c r="C5">
        <v>0.42466355169956888</v>
      </c>
    </row>
    <row r="6" spans="1:3" x14ac:dyDescent="0.2">
      <c r="A6">
        <v>0.42127735973459451</v>
      </c>
      <c r="B6">
        <v>0.41993351370774112</v>
      </c>
      <c r="C6">
        <v>0.42060543672116779</v>
      </c>
    </row>
    <row r="7" spans="1:3" x14ac:dyDescent="0.2">
      <c r="A7">
        <v>0.42146969565699111</v>
      </c>
      <c r="B7">
        <v>0.41296894557163277</v>
      </c>
      <c r="C7">
        <v>0.41721932061431188</v>
      </c>
    </row>
    <row r="8" spans="1:3" x14ac:dyDescent="0.2">
      <c r="A8">
        <v>0.4223575209420089</v>
      </c>
      <c r="B8">
        <v>0.42069237792724518</v>
      </c>
      <c r="C8">
        <v>0.42152494943462709</v>
      </c>
    </row>
    <row r="9" spans="1:3" x14ac:dyDescent="0.2">
      <c r="A9">
        <v>0.42310141416413372</v>
      </c>
      <c r="B9">
        <v>0.42461758311731551</v>
      </c>
      <c r="C9">
        <v>0.42385949864072459</v>
      </c>
    </row>
    <row r="10" spans="1:3" x14ac:dyDescent="0.2">
      <c r="A10" t="s">
        <v>3</v>
      </c>
    </row>
    <row r="11" spans="1:3" x14ac:dyDescent="0.2">
      <c r="A11">
        <f>_xlfn.VAR.S(A2:A9)</f>
        <v>2.468975759594725E-5</v>
      </c>
      <c r="B11">
        <f>_xlfn.VAR.S(B2:B9)</f>
        <v>2.5536044258094115E-5</v>
      </c>
      <c r="C11">
        <f>_xlfn.VAR.S(C2:C9)</f>
        <v>1.0131548303336846E-5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zoomScale="214" workbookViewId="0">
      <selection activeCell="C11" sqref="C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0.38871956939021879</v>
      </c>
      <c r="B2">
        <v>0.48865639837188118</v>
      </c>
      <c r="C2">
        <v>0.43868798388105001</v>
      </c>
    </row>
    <row r="3" spans="1:3" x14ac:dyDescent="0.2">
      <c r="A3">
        <v>0.51100084128075807</v>
      </c>
      <c r="B3">
        <v>0.4090676739178758</v>
      </c>
      <c r="C3">
        <v>0.46003425759931688</v>
      </c>
    </row>
    <row r="4" spans="1:3" x14ac:dyDescent="0.2">
      <c r="A4">
        <v>0.41818156146856761</v>
      </c>
      <c r="B4">
        <v>0.49291571450424743</v>
      </c>
      <c r="C4">
        <v>0.45554863798640749</v>
      </c>
    </row>
    <row r="5" spans="1:3" x14ac:dyDescent="0.2">
      <c r="A5">
        <v>0.41834047890010029</v>
      </c>
      <c r="B5">
        <v>0.45314937975327307</v>
      </c>
      <c r="C5">
        <v>0.43574492932668668</v>
      </c>
    </row>
    <row r="6" spans="1:3" x14ac:dyDescent="0.2">
      <c r="A6">
        <v>0.41786123881317161</v>
      </c>
      <c r="B6">
        <v>0.44040898351945368</v>
      </c>
      <c r="C6">
        <v>0.42913511116631259</v>
      </c>
    </row>
    <row r="7" spans="1:3" x14ac:dyDescent="0.2">
      <c r="A7">
        <v>0.44290434176561272</v>
      </c>
      <c r="B7">
        <v>0.43729296993140288</v>
      </c>
      <c r="C7">
        <v>0.44009865584850782</v>
      </c>
    </row>
    <row r="8" spans="1:3" x14ac:dyDescent="0.2">
      <c r="A8">
        <v>0.48834222858603721</v>
      </c>
      <c r="B8">
        <v>0.51509326108787901</v>
      </c>
      <c r="C8">
        <v>0.50171774483695819</v>
      </c>
    </row>
    <row r="9" spans="1:3" x14ac:dyDescent="0.2">
      <c r="A9">
        <v>0.45063190825605581</v>
      </c>
      <c r="B9">
        <v>0.45700697144379898</v>
      </c>
      <c r="C9">
        <v>0.4538194398499274</v>
      </c>
    </row>
    <row r="10" spans="1:3" x14ac:dyDescent="0.2">
      <c r="A10" t="s">
        <v>3</v>
      </c>
    </row>
    <row r="11" spans="1:3" x14ac:dyDescent="0.2">
      <c r="A11">
        <f>_xlfn.VAR.S(A2:A9)</f>
        <v>1.6475172732211541E-3</v>
      </c>
      <c r="B11">
        <f>_xlfn.VAR.S(B2:B9)</f>
        <v>1.2094597767768167E-3</v>
      </c>
      <c r="C11">
        <f>_xlfn.VAR.S(C2:C9)</f>
        <v>5.2257212510626661E-4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A10" sqref="A10:C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0.38670284163702912</v>
      </c>
      <c r="B2">
        <v>0.42313795088346517</v>
      </c>
      <c r="C2">
        <v>0.40492039626024717</v>
      </c>
    </row>
    <row r="3" spans="1:3" x14ac:dyDescent="0.2">
      <c r="A3">
        <v>0.41920418914339241</v>
      </c>
      <c r="B3">
        <v>0.39644250505237638</v>
      </c>
      <c r="C3">
        <v>0.40782334709788443</v>
      </c>
    </row>
    <row r="4" spans="1:3" x14ac:dyDescent="0.2">
      <c r="A4">
        <v>0.39764508701707291</v>
      </c>
      <c r="B4">
        <v>0.42113984801918908</v>
      </c>
      <c r="C4">
        <v>0.40939246751813102</v>
      </c>
    </row>
    <row r="5" spans="1:3" x14ac:dyDescent="0.2">
      <c r="A5">
        <v>0.40169854008274702</v>
      </c>
      <c r="B5">
        <v>0.4191203014658782</v>
      </c>
      <c r="C5">
        <v>0.41040942077431258</v>
      </c>
    </row>
    <row r="6" spans="1:3" x14ac:dyDescent="0.2">
      <c r="A6">
        <v>0.40296034301643691</v>
      </c>
      <c r="B6">
        <v>0.40722240869044218</v>
      </c>
      <c r="C6">
        <v>0.40509137585343957</v>
      </c>
    </row>
    <row r="7" spans="1:3" x14ac:dyDescent="0.2">
      <c r="A7">
        <v>0.4059034638631166</v>
      </c>
      <c r="B7">
        <v>0.39943802546454138</v>
      </c>
      <c r="C7">
        <v>0.40267074466382902</v>
      </c>
    </row>
    <row r="8" spans="1:3" x14ac:dyDescent="0.2">
      <c r="A8">
        <v>0.41188776626702511</v>
      </c>
      <c r="B8">
        <v>0.42185256035318142</v>
      </c>
      <c r="C8">
        <v>0.41687016331010318</v>
      </c>
    </row>
    <row r="9" spans="1:3" x14ac:dyDescent="0.2">
      <c r="A9">
        <v>0.41585686769652902</v>
      </c>
      <c r="B9">
        <v>0.4212312138585112</v>
      </c>
      <c r="C9">
        <v>0.41854404077752011</v>
      </c>
    </row>
    <row r="10" spans="1:3" x14ac:dyDescent="0.2">
      <c r="A10" t="s">
        <v>3</v>
      </c>
    </row>
    <row r="11" spans="1:3" x14ac:dyDescent="0.2">
      <c r="A11">
        <f>_xlfn.VAR.S(A2:A9)</f>
        <v>1.1019952754804641E-4</v>
      </c>
      <c r="B11">
        <f>_xlfn.VAR.S(B2:B9)</f>
        <v>1.2002479368094052E-4</v>
      </c>
      <c r="C11">
        <f>_xlfn.VAR.S(C2:C9)</f>
        <v>3.2400222474506822E-5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A10" sqref="A10:C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0.43336682848365682</v>
      </c>
      <c r="B2">
        <v>0.4717523969377137</v>
      </c>
      <c r="C2">
        <v>0.45255961271068529</v>
      </c>
    </row>
    <row r="3" spans="1:3" x14ac:dyDescent="0.2">
      <c r="A3">
        <v>0.46739225217151659</v>
      </c>
      <c r="B3">
        <v>0.44337900509743461</v>
      </c>
      <c r="C3">
        <v>0.45538562863447563</v>
      </c>
    </row>
    <row r="4" spans="1:3" x14ac:dyDescent="0.2">
      <c r="A4">
        <v>0.44222982416481132</v>
      </c>
      <c r="B4">
        <v>0.46517467555787989</v>
      </c>
      <c r="C4">
        <v>0.45370224986134572</v>
      </c>
    </row>
    <row r="5" spans="1:3" x14ac:dyDescent="0.2">
      <c r="A5">
        <v>0.44624996066894812</v>
      </c>
      <c r="B5">
        <v>0.4658134462456715</v>
      </c>
      <c r="C5">
        <v>0.45603170345730981</v>
      </c>
    </row>
    <row r="6" spans="1:3" x14ac:dyDescent="0.2">
      <c r="A6">
        <v>0.44400812662885109</v>
      </c>
      <c r="B6">
        <v>0.45099467236555141</v>
      </c>
      <c r="C6">
        <v>0.44750139949720119</v>
      </c>
    </row>
    <row r="7" spans="1:3" x14ac:dyDescent="0.2">
      <c r="A7">
        <v>0.45154591192525029</v>
      </c>
      <c r="B7">
        <v>0.44693158355401652</v>
      </c>
      <c r="C7">
        <v>0.44923874773963329</v>
      </c>
    </row>
    <row r="8" spans="1:3" x14ac:dyDescent="0.2">
      <c r="A8">
        <v>0.45646812227930239</v>
      </c>
      <c r="B8">
        <v>0.46881562606609828</v>
      </c>
      <c r="C8">
        <v>0.46264187417270031</v>
      </c>
    </row>
    <row r="9" spans="1:3" x14ac:dyDescent="0.2">
      <c r="A9">
        <v>0.46316534422936861</v>
      </c>
      <c r="B9">
        <v>0.463177419773387</v>
      </c>
      <c r="C9">
        <v>0.46317138200137781</v>
      </c>
    </row>
    <row r="10" spans="1:3" x14ac:dyDescent="0.2">
      <c r="A10" t="s">
        <v>3</v>
      </c>
    </row>
    <row r="11" spans="1:3" x14ac:dyDescent="0.2">
      <c r="A11">
        <f>_xlfn.VAR.S(A2:A9)</f>
        <v>1.2922820684650946E-4</v>
      </c>
      <c r="B11">
        <f>_xlfn.VAR.S(B2:B9)</f>
        <v>1.1609700863509838E-4</v>
      </c>
      <c r="C11">
        <f>_xlfn.VAR.S(C2:C9)</f>
        <v>3.1919538010101832E-5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A10" sqref="A10:C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0.44938152297525441</v>
      </c>
      <c r="B2">
        <v>0.4606556212731503</v>
      </c>
      <c r="C2">
        <v>0.45501857212420233</v>
      </c>
    </row>
    <row r="3" spans="1:3" x14ac:dyDescent="0.2">
      <c r="A3">
        <v>0.46184157396590259</v>
      </c>
      <c r="B3">
        <v>0.45509426872018299</v>
      </c>
      <c r="C3">
        <v>0.45846792134304282</v>
      </c>
    </row>
    <row r="4" spans="1:3" x14ac:dyDescent="0.2">
      <c r="A4">
        <v>0.45003838418003611</v>
      </c>
      <c r="B4">
        <v>0.45574989723760151</v>
      </c>
      <c r="C4">
        <v>0.45289414070881878</v>
      </c>
    </row>
    <row r="5" spans="1:3" x14ac:dyDescent="0.2">
      <c r="A5">
        <v>0.454203378412666</v>
      </c>
      <c r="B5">
        <v>0.46450584081977209</v>
      </c>
      <c r="C5">
        <v>0.45935460961621899</v>
      </c>
    </row>
    <row r="6" spans="1:3" x14ac:dyDescent="0.2">
      <c r="A6">
        <v>0.45581927605565981</v>
      </c>
      <c r="B6">
        <v>0.45587567790368472</v>
      </c>
      <c r="C6">
        <v>0.45584747697967221</v>
      </c>
    </row>
    <row r="7" spans="1:3" x14ac:dyDescent="0.2">
      <c r="A7">
        <v>0.45727389764867932</v>
      </c>
      <c r="B7">
        <v>0.45300423453498512</v>
      </c>
      <c r="C7">
        <v>0.45513906609183208</v>
      </c>
    </row>
    <row r="8" spans="1:3" x14ac:dyDescent="0.2">
      <c r="A8">
        <v>0.45768603427794008</v>
      </c>
      <c r="B8">
        <v>0.45911063352683212</v>
      </c>
      <c r="C8">
        <v>0.4583983339023861</v>
      </c>
    </row>
    <row r="9" spans="1:3" x14ac:dyDescent="0.2">
      <c r="A9">
        <v>0.46208760381493841</v>
      </c>
      <c r="B9">
        <v>0.4588694129851329</v>
      </c>
      <c r="C9">
        <v>0.46047850840003568</v>
      </c>
    </row>
    <row r="10" spans="1:3" x14ac:dyDescent="0.2">
      <c r="A10" t="s">
        <v>3</v>
      </c>
    </row>
    <row r="11" spans="1:3" x14ac:dyDescent="0.2">
      <c r="A11">
        <f>_xlfn.VAR.S(A2:A9)</f>
        <v>2.2605756323220318E-5</v>
      </c>
      <c r="B11">
        <f>_xlfn.VAR.S(B2:B9)</f>
        <v>1.3454780992001544E-5</v>
      </c>
      <c r="C11">
        <f>_xlfn.VAR.S(C2:C9)</f>
        <v>6.7585316937824681E-6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S3-12-R1</vt:lpstr>
      <vt:lpstr>S1-16-R2</vt:lpstr>
      <vt:lpstr>S2-14-R4</vt:lpstr>
      <vt:lpstr>S2-10-R3</vt:lpstr>
      <vt:lpstr>S3-16-R3</vt:lpstr>
      <vt:lpstr>S3-14-R2</vt:lpstr>
      <vt:lpstr>S1-14-R1</vt:lpstr>
      <vt:lpstr>S1-10-R2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2026-04-29T12:18:22Z</dcterms:created>
  <dcterms:modified xsi:type="dcterms:W3CDTF">2026-04-29T12:42:23Z</dcterms:modified>
</cp:coreProperties>
</file>