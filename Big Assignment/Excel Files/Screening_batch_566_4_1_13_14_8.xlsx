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5B83D32B-7281-0F4F-A116-1E6DC8051FCE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7" i="2" l="1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16" i="2"/>
  <c r="E16" i="2" s="1"/>
  <c r="G17" i="2" l="1"/>
  <c r="F17" i="2"/>
  <c r="G20" i="2"/>
  <c r="F20" i="2"/>
  <c r="G16" i="2"/>
  <c r="F16" i="2"/>
  <c r="G19" i="2"/>
  <c r="F19" i="2"/>
  <c r="G21" i="2"/>
  <c r="F21" i="2"/>
  <c r="G18" i="2"/>
  <c r="F18" i="2"/>
  <c r="G22" i="2"/>
  <c r="F22" i="2"/>
</calcChain>
</file>

<file path=xl/sharedStrings.xml><?xml version="1.0" encoding="utf-8"?>
<sst xmlns="http://schemas.openxmlformats.org/spreadsheetml/2006/main" count="123" uniqueCount="66">
  <si>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</si>
  <si>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</si>
  <si>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</si>
  <si>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</si>
  <si>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</si>
  <si>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</si>
  <si>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</si>
  <si>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</si>
  <si>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</si>
  <si>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</si>
  <si>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</si>
  <si>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</si>
  <si>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</si>
  <si>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</si>
  <si>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</si>
  <si>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</si>
  <si>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</si>
  <si>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</si>
  <si>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</si>
  <si>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</si>
  <si>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</si>
  <si>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</si>
  <si>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</si>
  <si>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</si>
  <si>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</si>
  <si>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</si>
  <si>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</si>
  <si>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</si>
  <si>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</si>
  <si>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</si>
  <si>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</si>
  <si>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</si>
  <si>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</si>
  <si>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</si>
  <si>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</si>
  <si>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</si>
  <si>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NO</t>
  </si>
  <si>
    <t>YES</t>
  </si>
  <si>
    <t>e12 urgent × strategy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</si>
  <si>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</si>
  <si>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</si>
  <si>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</si>
  <si>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</si>
  <si>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</si>
  <si>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</si>
  <si>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</si>
  <si>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</si>
  <si>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</si>
  <si>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</si>
  <si>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</si>
  <si>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</si>
  <si>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</si>
  <si>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</si>
  <si>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</si>
  <si>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</si>
  <si>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</si>
  <si>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</si>
  <si>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</si>
  <si>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</si>
  <si>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</si>
  <si>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(13)</t>
  </si>
  <si>
    <t>Interaction strategy × rule | urgent slots = + (14)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</si>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</sst>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7" fillId="5" borderId="0" xfId="2"/>
    <xf numFmtId="0" fontId="6" fillId="4" borderId="0" xfId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0.4299418177710661</c:v>
                </c:pt>
                <c:pt idx="1">
                  <c:v>0.43415298304003169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11-3D4C-88E3-BDD266574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0.45613168576029428</c:v>
                </c:pt>
                <c:pt idx="1">
                  <c:v>0.40796311505080352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58-904F-9D5B-DB75F4CA7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0.432676382292977</c:v>
                </c:pt>
                <c:pt idx="1">
                  <c:v>0.43141841851812091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29-334F-B8A4-6F68487F0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0.45419141367340488</c:v>
                </c:pt>
                <c:pt idx="1">
                  <c:v>0.45982188066221619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A0-6042-86A3-3F4B5A87CB0A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0.40680295826243318</c:v>
                </c:pt>
                <c:pt idx="1">
                  <c:v>0.40988927657385338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BA0-6042-86A3-3F4B5A87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0.4525393963902074</c:v>
                </c:pt>
                <c:pt idx="1">
                  <c:v>0.45797405231534871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38-F140-9241-E406BCA489F6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0.40623350275821901</c:v>
                </c:pt>
                <c:pt idx="1">
                  <c:v>0.40892672260870849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38-F140-9241-E406BCA48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0.45419141367340488</c:v>
                </c:pt>
                <c:pt idx="1">
                  <c:v>0.45982188066221619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83-2C41-8EF3-7FBCD352F59E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0.4525393963902074</c:v>
                </c:pt>
                <c:pt idx="1">
                  <c:v>0.45797405231534871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83-2C41-8EF3-7FBCD352F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0.40680295826243318</c:v>
                </c:pt>
                <c:pt idx="1">
                  <c:v>0.40988927657385338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C3-8F48-BE80-F912F3EA8003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0.40623350275821901</c:v>
                </c:pt>
                <c:pt idx="1">
                  <c:v>0.40892672260870849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C3-8F48-BE80-F912F3EA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0.45419141367340488</c:v>
                </c:pt>
                <c:pt idx="1">
                  <c:v>0.40680295826243318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F-8941-8A3A-A3A0E1A12B46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0.4525393963902074</c:v>
                </c:pt>
                <c:pt idx="1">
                  <c:v>0.40623350275821901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F-8941-8A3A-A3A0E1A12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0.45982188066221619</c:v>
                </c:pt>
                <c:pt idx="1">
                  <c:v>0.40988927657385338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98-1042-B52D-EED3C17D6355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0.45797405231534871</c:v>
                </c:pt>
                <c:pt idx="1">
                  <c:v>0.40892672260870849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98-1042-B52D-EED3C17D6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pane ySplit="3" topLeftCell="A4" activePane="bottomLeft" state="frozen"/>
      <selection pane="bottomLeft" sqref="A1:P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5" width="14" customWidth="1"/>
    <col min="16" max="16" width="16" customWidth="1"/>
  </cols>
  <sheetData>
    <row r="1" spans="1:16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3" spans="1:16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>
        <v>1</v>
      </c>
      <c r="B4" s="3" t="s">
        <v>17</v>
      </c>
      <c r="C4" s="3">
        <v>13</v>
      </c>
      <c r="D4" s="3" t="s">
        <v>17</v>
      </c>
      <c r="E4" s="3">
        <v>1</v>
      </c>
      <c r="F4" s="3" t="s">
        <v>17</v>
      </c>
      <c r="G4" s="3">
        <v>1</v>
      </c>
      <c r="H4" s="4">
        <v>0.46871363370108382</v>
      </c>
      <c r="I4" s="4">
        <v>0.44420855325140812</v>
      </c>
      <c r="J4" s="4">
        <v>0.45298698512635582</v>
      </c>
      <c r="K4" s="4">
        <v>0.44494537068235968</v>
      </c>
      <c r="L4" s="4">
        <v>0.45579053389542579</v>
      </c>
      <c r="M4" s="4">
        <v>0.46148872002222041</v>
      </c>
      <c r="N4" s="4">
        <v>0.45073000217622561</v>
      </c>
      <c r="O4" s="4">
        <v>0.45466751053216031</v>
      </c>
      <c r="P4" s="4">
        <v>0.45419141367340488</v>
      </c>
    </row>
    <row r="5" spans="1:16" x14ac:dyDescent="0.2">
      <c r="A5" s="2">
        <v>2</v>
      </c>
      <c r="B5" s="3" t="s">
        <v>18</v>
      </c>
      <c r="C5" s="3">
        <v>14</v>
      </c>
      <c r="D5" s="3" t="s">
        <v>17</v>
      </c>
      <c r="E5" s="3">
        <v>1</v>
      </c>
      <c r="F5" s="3" t="s">
        <v>17</v>
      </c>
      <c r="G5" s="3">
        <v>1</v>
      </c>
      <c r="H5" s="4">
        <v>0.45982980182454092</v>
      </c>
      <c r="I5" s="4">
        <v>0.44934183990802018</v>
      </c>
      <c r="J5" s="4">
        <v>0.46969276865713899</v>
      </c>
      <c r="K5" s="4">
        <v>0.4578764147122652</v>
      </c>
      <c r="L5" s="4">
        <v>0.46434694079488459</v>
      </c>
      <c r="M5" s="4">
        <v>0.45595053601454483</v>
      </c>
      <c r="N5" s="4">
        <v>0.4569760698734141</v>
      </c>
      <c r="O5" s="4">
        <v>0.46456067351292102</v>
      </c>
      <c r="P5" s="4">
        <v>0.45982188066221619</v>
      </c>
    </row>
    <row r="6" spans="1:16" x14ac:dyDescent="0.2">
      <c r="A6" s="2">
        <v>3</v>
      </c>
      <c r="B6" s="3" t="s">
        <v>17</v>
      </c>
      <c r="C6" s="3">
        <v>13</v>
      </c>
      <c r="D6" s="3" t="s">
        <v>18</v>
      </c>
      <c r="E6" s="3">
        <v>2</v>
      </c>
      <c r="F6" s="3" t="s">
        <v>17</v>
      </c>
      <c r="G6" s="3">
        <v>1</v>
      </c>
      <c r="H6" s="4">
        <v>0.41512242923217368</v>
      </c>
      <c r="I6" s="4">
        <v>0.40855329278160452</v>
      </c>
      <c r="J6" s="4">
        <v>0.41340173774391747</v>
      </c>
      <c r="K6" s="4">
        <v>0.40431060141956421</v>
      </c>
      <c r="L6" s="4">
        <v>0.38562681630978118</v>
      </c>
      <c r="M6" s="4">
        <v>0.40800431701639239</v>
      </c>
      <c r="N6" s="4">
        <v>0.4137502906638843</v>
      </c>
      <c r="O6" s="4">
        <v>0.40565418093214811</v>
      </c>
      <c r="P6" s="4">
        <v>0.40680295826243318</v>
      </c>
    </row>
    <row r="7" spans="1:16" x14ac:dyDescent="0.2">
      <c r="A7" s="2">
        <v>4</v>
      </c>
      <c r="B7" s="3" t="s">
        <v>18</v>
      </c>
      <c r="C7" s="3">
        <v>14</v>
      </c>
      <c r="D7" s="3" t="s">
        <v>18</v>
      </c>
      <c r="E7" s="3">
        <v>2</v>
      </c>
      <c r="F7" s="3" t="s">
        <v>17</v>
      </c>
      <c r="G7" s="3">
        <v>1</v>
      </c>
      <c r="H7" s="4">
        <v>0.4217791284541953</v>
      </c>
      <c r="I7" s="4">
        <v>0.41045182580068229</v>
      </c>
      <c r="J7" s="4">
        <v>0.40060373674963318</v>
      </c>
      <c r="K7" s="4">
        <v>0.41460860167890068</v>
      </c>
      <c r="L7" s="4">
        <v>0.40739572759054948</v>
      </c>
      <c r="M7" s="4">
        <v>0.4061034687765655</v>
      </c>
      <c r="N7" s="4">
        <v>0.41099306355332421</v>
      </c>
      <c r="O7" s="4">
        <v>0.40717865998697678</v>
      </c>
      <c r="P7" s="4">
        <v>0.40988927657385338</v>
      </c>
    </row>
    <row r="8" spans="1:16" x14ac:dyDescent="0.2">
      <c r="A8" s="2">
        <v>5</v>
      </c>
      <c r="B8" s="3" t="s">
        <v>17</v>
      </c>
      <c r="C8" s="3">
        <v>13</v>
      </c>
      <c r="D8" s="3" t="s">
        <v>17</v>
      </c>
      <c r="E8" s="3">
        <v>1</v>
      </c>
      <c r="F8" s="3" t="s">
        <v>18</v>
      </c>
      <c r="G8" s="3">
        <v>2</v>
      </c>
      <c r="H8" s="4">
        <v>0.46706800875154653</v>
      </c>
      <c r="I8" s="4">
        <v>0.4426715651607292</v>
      </c>
      <c r="J8" s="4">
        <v>0.45124606347462992</v>
      </c>
      <c r="K8" s="4">
        <v>0.44329858251899751</v>
      </c>
      <c r="L8" s="4">
        <v>0.45448323967827919</v>
      </c>
      <c r="M8" s="4">
        <v>0.46025239948834051</v>
      </c>
      <c r="N8" s="4">
        <v>0.44897099428576381</v>
      </c>
      <c r="O8" s="4">
        <v>0.45232431776337262</v>
      </c>
      <c r="P8" s="4">
        <v>0.4525393963902074</v>
      </c>
    </row>
    <row r="9" spans="1:16" x14ac:dyDescent="0.2">
      <c r="A9" s="2">
        <v>6</v>
      </c>
      <c r="B9" s="3" t="s">
        <v>18</v>
      </c>
      <c r="C9" s="3">
        <v>14</v>
      </c>
      <c r="D9" s="3" t="s">
        <v>17</v>
      </c>
      <c r="E9" s="3">
        <v>1</v>
      </c>
      <c r="F9" s="3" t="s">
        <v>18</v>
      </c>
      <c r="G9" s="3">
        <v>2</v>
      </c>
      <c r="H9" s="4">
        <v>0.45794313810674608</v>
      </c>
      <c r="I9" s="4">
        <v>0.44771015544875131</v>
      </c>
      <c r="J9" s="4">
        <v>0.46818795100708749</v>
      </c>
      <c r="K9" s="4">
        <v>0.45571794452216507</v>
      </c>
      <c r="L9" s="4">
        <v>0.46242236001057418</v>
      </c>
      <c r="M9" s="4">
        <v>0.45406467671378098</v>
      </c>
      <c r="N9" s="4">
        <v>0.45501454109809569</v>
      </c>
      <c r="O9" s="4">
        <v>0.46273165161558882</v>
      </c>
      <c r="P9" s="4">
        <v>0.45797405231534871</v>
      </c>
    </row>
    <row r="10" spans="1:16" x14ac:dyDescent="0.2">
      <c r="A10" s="2">
        <v>7</v>
      </c>
      <c r="B10" s="3" t="s">
        <v>17</v>
      </c>
      <c r="C10" s="3">
        <v>13</v>
      </c>
      <c r="D10" s="3" t="s">
        <v>18</v>
      </c>
      <c r="E10" s="3">
        <v>2</v>
      </c>
      <c r="F10" s="3" t="s">
        <v>18</v>
      </c>
      <c r="G10" s="3">
        <v>2</v>
      </c>
      <c r="H10" s="4">
        <v>0.41498660142026278</v>
      </c>
      <c r="I10" s="4">
        <v>0.40713143278026209</v>
      </c>
      <c r="J10" s="4">
        <v>0.41348580423385289</v>
      </c>
      <c r="K10" s="4">
        <v>0.40348532267118198</v>
      </c>
      <c r="L10" s="4">
        <v>0.38459038802382162</v>
      </c>
      <c r="M10" s="4">
        <v>0.40745107432617539</v>
      </c>
      <c r="N10" s="4">
        <v>0.41335197863298317</v>
      </c>
      <c r="O10" s="4">
        <v>0.40538541997721178</v>
      </c>
      <c r="P10" s="4">
        <v>0.40623350275821901</v>
      </c>
    </row>
    <row r="11" spans="1:16" x14ac:dyDescent="0.2">
      <c r="A11" s="2">
        <v>8</v>
      </c>
      <c r="B11" s="3" t="s">
        <v>18</v>
      </c>
      <c r="C11" s="3">
        <v>14</v>
      </c>
      <c r="D11" s="3" t="s">
        <v>18</v>
      </c>
      <c r="E11" s="3">
        <v>2</v>
      </c>
      <c r="F11" s="3" t="s">
        <v>18</v>
      </c>
      <c r="G11" s="3">
        <v>2</v>
      </c>
      <c r="H11" s="4">
        <v>0.42079732305127843</v>
      </c>
      <c r="I11" s="4">
        <v>0.40902540824525507</v>
      </c>
      <c r="J11" s="4">
        <v>0.39966716453659651</v>
      </c>
      <c r="K11" s="4">
        <v>0.41330244929712012</v>
      </c>
      <c r="L11" s="4">
        <v>0.40677295883260328</v>
      </c>
      <c r="M11" s="4">
        <v>0.40558898171195901</v>
      </c>
      <c r="N11" s="4">
        <v>0.40976216129716558</v>
      </c>
      <c r="O11" s="4">
        <v>0.40649733389769022</v>
      </c>
      <c r="P11" s="4">
        <v>0.40892672260870849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pane ySplit="3" topLeftCell="A4" activePane="bottomLeft" state="frozen"/>
      <selection pane="bottomLeft" activeCell="M20" sqref="M20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13" t="s">
        <v>19</v>
      </c>
      <c r="B1" s="14"/>
      <c r="C1" s="14"/>
      <c r="D1" s="14"/>
      <c r="E1" s="14"/>
      <c r="F1" s="14"/>
      <c r="G1" s="14"/>
      <c r="H1" s="14"/>
    </row>
    <row r="3" spans="1:8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</row>
    <row r="4" spans="1:8" x14ac:dyDescent="0.2">
      <c r="A4" s="3">
        <v>1</v>
      </c>
      <c r="B4" s="4">
        <v>-1.385320417076535E-3</v>
      </c>
      <c r="C4" s="4">
        <v>-4.5217275056501721E-2</v>
      </c>
      <c r="D4" s="4">
        <v>-1.1624804705399889E-3</v>
      </c>
      <c r="E4" s="4">
        <v>7.6190308435951093E-3</v>
      </c>
      <c r="F4" s="4">
        <v>-2.7175408981586208E-4</v>
      </c>
      <c r="G4" s="4">
        <v>6.0366386312601938E-4</v>
      </c>
      <c r="H4" s="4">
        <v>-1.5123470568711989E-4</v>
      </c>
    </row>
    <row r="5" spans="1:8" x14ac:dyDescent="0.2">
      <c r="A5" s="3">
        <v>2</v>
      </c>
      <c r="B5" s="4">
        <v>3.491096357176246E-3</v>
      </c>
      <c r="C5" s="4">
        <v>-3.7192538540276182E-2</v>
      </c>
      <c r="D5" s="4">
        <v>-1.5042375266794139E-3</v>
      </c>
      <c r="E5" s="4">
        <v>-1.59484211514084E-3</v>
      </c>
      <c r="F5" s="4">
        <v>-2.4813480668670059E-5</v>
      </c>
      <c r="G5" s="4">
        <v>8.0098748294538114E-5</v>
      </c>
      <c r="H5" s="4">
        <v>2.2534703626300719E-5</v>
      </c>
    </row>
    <row r="6" spans="1:8" x14ac:dyDescent="0.2">
      <c r="A6" s="3">
        <v>3</v>
      </c>
      <c r="B6" s="4">
        <v>1.757757592925027E-3</v>
      </c>
      <c r="C6" s="4">
        <v>-5.3738831250303022E-2</v>
      </c>
      <c r="D6" s="4">
        <v>-1.024561256219775E-3</v>
      </c>
      <c r="E6" s="4">
        <v>-1.50660779386954E-2</v>
      </c>
      <c r="F6" s="4">
        <v>-1.961336753244641E-4</v>
      </c>
      <c r="G6" s="4">
        <v>5.9830839466903929E-4</v>
      </c>
      <c r="H6" s="4">
        <v>-3.1418567616166288E-4</v>
      </c>
    </row>
    <row r="7" spans="1:8" x14ac:dyDescent="0.2">
      <c r="A7" s="3">
        <v>4</v>
      </c>
      <c r="B7" s="4">
        <v>1.1366383229586949E-2</v>
      </c>
      <c r="C7" s="4">
        <v>-4.1532834342255152E-2</v>
      </c>
      <c r="D7" s="4">
        <v>-1.4841723709063249E-3</v>
      </c>
      <c r="E7" s="4">
        <v>-1.3088197869496191E-3</v>
      </c>
      <c r="F7" s="4">
        <v>-2.4813891503409902E-4</v>
      </c>
      <c r="G7" s="4">
        <v>4.184568058248489E-4</v>
      </c>
      <c r="H7" s="4">
        <v>7.7020983348524696E-6</v>
      </c>
    </row>
    <row r="8" spans="1:8" x14ac:dyDescent="0.2">
      <c r="A8" s="3">
        <v>5</v>
      </c>
      <c r="B8" s="4">
        <v>1.5111752330325971E-2</v>
      </c>
      <c r="C8" s="4">
        <v>-6.3164295905602061E-2</v>
      </c>
      <c r="D8" s="4">
        <v>-1.2227680113407471E-3</v>
      </c>
      <c r="E8" s="4">
        <v>6.8639887144490708E-3</v>
      </c>
      <c r="F8" s="4">
        <v>-5.0906759787611173E-5</v>
      </c>
      <c r="G8" s="4">
        <v>3.9316948938775131E-4</v>
      </c>
      <c r="H8" s="4">
        <v>2.5773652379429413E-4</v>
      </c>
    </row>
    <row r="9" spans="1:8" x14ac:dyDescent="0.2">
      <c r="A9" s="3">
        <v>6</v>
      </c>
      <c r="B9" s="4">
        <v>-3.8722119090695982E-3</v>
      </c>
      <c r="C9" s="4">
        <v>-5.1152122601948541E-2</v>
      </c>
      <c r="D9" s="4">
        <v>-1.0474773973667419E-3</v>
      </c>
      <c r="E9" s="4">
        <v>1.990741482047934E-3</v>
      </c>
      <c r="F9" s="4">
        <v>-1.5269578531836031E-4</v>
      </c>
      <c r="G9" s="4">
        <v>5.1361251995504786E-4</v>
      </c>
      <c r="H9" s="4">
        <v>1.7207359812358711E-4</v>
      </c>
    </row>
    <row r="10" spans="1:8" x14ac:dyDescent="0.2">
      <c r="A10" s="3">
        <v>7</v>
      </c>
      <c r="B10" s="4">
        <v>1.48564251578566E-3</v>
      </c>
      <c r="C10" s="4">
        <v>-4.0958528321535487E-2</v>
      </c>
      <c r="D10" s="4">
        <v>-1.337437738209962E-3</v>
      </c>
      <c r="E10" s="4">
        <v>-4.6591647389745564E-3</v>
      </c>
      <c r="F10" s="4">
        <v>-2.5877777752854331E-4</v>
      </c>
      <c r="G10" s="4">
        <v>5.2283059468014037E-4</v>
      </c>
      <c r="H10" s="4">
        <v>-1.5751733510020741E-4</v>
      </c>
    </row>
    <row r="11" spans="1:8" x14ac:dyDescent="0.2">
      <c r="A11" s="3">
        <v>8</v>
      </c>
      <c r="B11" s="4">
        <v>5.7342224520710028E-3</v>
      </c>
      <c r="C11" s="4">
        <v>-5.2392139657503972E-2</v>
      </c>
      <c r="D11" s="4">
        <v>-1.2805754275856669E-3</v>
      </c>
      <c r="E11" s="4">
        <v>-4.4160259644174804E-3</v>
      </c>
      <c r="F11" s="4">
        <v>2.5401434276289821E-5</v>
      </c>
      <c r="G11" s="4">
        <v>8.0553190547424935E-4</v>
      </c>
      <c r="H11" s="4">
        <v>-2.3168400145143209E-4</v>
      </c>
    </row>
    <row r="14" spans="1:8" x14ac:dyDescent="0.2">
      <c r="A14" s="15" t="s">
        <v>28</v>
      </c>
      <c r="B14" s="14"/>
      <c r="C14" s="14"/>
      <c r="D14" s="14"/>
      <c r="E14" s="14"/>
      <c r="F14" s="14"/>
      <c r="G14" s="14"/>
    </row>
    <row r="15" spans="1:8" x14ac:dyDescent="0.2">
      <c r="A15" s="1" t="s">
        <v>29</v>
      </c>
      <c r="B15" s="1" t="s">
        <v>30</v>
      </c>
      <c r="C15" s="1" t="s">
        <v>31</v>
      </c>
      <c r="D15" s="8" t="s">
        <v>65</v>
      </c>
      <c r="E15" s="1" t="s">
        <v>32</v>
      </c>
      <c r="F15" s="1" t="s">
        <v>33</v>
      </c>
      <c r="G15" s="1" t="s">
        <v>34</v>
      </c>
      <c r="H15" s="1" t="s">
        <v>35</v>
      </c>
    </row>
    <row r="16" spans="1:8" ht="28" x14ac:dyDescent="0.2">
      <c r="A16" s="5" t="s">
        <v>21</v>
      </c>
      <c r="B16" s="4">
        <v>4.2111652689655896E-3</v>
      </c>
      <c r="C16" s="4">
        <v>6.3579811138267227E-3</v>
      </c>
      <c r="D16" s="4">
        <f>_xlfn.T.INV.2T(0.1/7,7)</f>
        <v>3.2383460877280466</v>
      </c>
      <c r="E16" s="4">
        <f>C16*D16/SQRT(4)</f>
        <v>1.0294671632904788E-2</v>
      </c>
      <c r="F16" s="4">
        <f>B16-E16</f>
        <v>-6.083506363939198E-3</v>
      </c>
      <c r="G16" s="9">
        <f>B16+E16</f>
        <v>1.4505836901870378E-2</v>
      </c>
      <c r="H16" s="10" t="s">
        <v>36</v>
      </c>
    </row>
    <row r="17" spans="1:8" ht="16" x14ac:dyDescent="0.2">
      <c r="A17" s="5" t="s">
        <v>22</v>
      </c>
      <c r="B17" s="4">
        <v>-4.8168570709490773E-2</v>
      </c>
      <c r="C17" s="4">
        <v>8.517551876532678E-3</v>
      </c>
      <c r="D17" s="4">
        <f t="shared" ref="D17:D22" si="0">_xlfn.T.INV.2T(0.1/7,7)</f>
        <v>3.2383460877280466</v>
      </c>
      <c r="E17" s="4">
        <f t="shared" ref="E17:E22" si="1">C17*D17/SQRT(4)</f>
        <v>1.3791390398195139E-2</v>
      </c>
      <c r="F17" s="4">
        <f t="shared" ref="F17:F21" si="2">B17-E17</f>
        <v>-6.195996110768591E-2</v>
      </c>
      <c r="G17" s="9">
        <f t="shared" ref="G17:G22" si="3">B17+E17</f>
        <v>-3.4377180311295635E-2</v>
      </c>
      <c r="H17" s="11" t="s">
        <v>37</v>
      </c>
    </row>
    <row r="18" spans="1:8" ht="16" x14ac:dyDescent="0.2">
      <c r="A18" s="5" t="s">
        <v>23</v>
      </c>
      <c r="B18" s="4">
        <v>-1.2579637748560779E-3</v>
      </c>
      <c r="C18" s="4">
        <v>1.8039066393382499E-4</v>
      </c>
      <c r="D18" s="4">
        <f t="shared" si="0"/>
        <v>3.2383460877280466</v>
      </c>
      <c r="E18" s="4">
        <f t="shared" si="1"/>
        <v>2.920837004063835E-4</v>
      </c>
      <c r="F18" s="4">
        <f t="shared" si="2"/>
        <v>-1.5500474752624615E-3</v>
      </c>
      <c r="G18" s="9">
        <f t="shared" si="3"/>
        <v>-9.6588007444969436E-4</v>
      </c>
      <c r="H18" s="11" t="s">
        <v>37</v>
      </c>
    </row>
    <row r="19" spans="1:8" ht="28" x14ac:dyDescent="0.2">
      <c r="A19" s="5" t="s">
        <v>38</v>
      </c>
      <c r="B19" s="4">
        <v>-1.3213961880107221E-3</v>
      </c>
      <c r="C19" s="4">
        <v>7.246779157230228E-3</v>
      </c>
      <c r="D19" s="4">
        <f t="shared" si="0"/>
        <v>3.2383460877280466</v>
      </c>
      <c r="E19" s="4">
        <f t="shared" si="1"/>
        <v>1.1733789466222829E-2</v>
      </c>
      <c r="F19" s="4">
        <f t="shared" si="2"/>
        <v>-1.3055185654233551E-2</v>
      </c>
      <c r="G19" s="9">
        <f t="shared" si="3"/>
        <v>1.0412393278212107E-2</v>
      </c>
      <c r="H19" s="10" t="s">
        <v>36</v>
      </c>
    </row>
    <row r="20" spans="1:8" ht="28" x14ac:dyDescent="0.2">
      <c r="A20" s="5" t="s">
        <v>39</v>
      </c>
      <c r="B20" s="4">
        <v>-1.47227381150165E-4</v>
      </c>
      <c r="C20" s="4">
        <v>1.162625058553799E-4</v>
      </c>
      <c r="D20" s="4">
        <f t="shared" si="0"/>
        <v>3.2383460877280466</v>
      </c>
      <c r="E20" s="4">
        <f>C20*D20/SQRT(4)</f>
        <v>1.8824911549311429E-4</v>
      </c>
      <c r="F20" s="4">
        <f t="shared" si="2"/>
        <v>-3.3547649664327926E-4</v>
      </c>
      <c r="G20" s="12">
        <f>B20+E20</f>
        <v>4.1021734342949295E-5</v>
      </c>
      <c r="H20" s="10" t="s">
        <v>36</v>
      </c>
    </row>
    <row r="21" spans="1:8" ht="28" x14ac:dyDescent="0.2">
      <c r="A21" s="5" t="s">
        <v>40</v>
      </c>
      <c r="B21" s="4">
        <v>4.9195904017645432E-4</v>
      </c>
      <c r="C21" s="4">
        <v>2.0987372884496099E-4</v>
      </c>
      <c r="D21" s="4">
        <f t="shared" si="0"/>
        <v>3.2383460877280466</v>
      </c>
      <c r="E21" s="4">
        <f t="shared" si="1"/>
        <v>3.3982188436098817E-4</v>
      </c>
      <c r="F21" s="4">
        <f t="shared" si="2"/>
        <v>1.5213715581546616E-4</v>
      </c>
      <c r="G21" s="9">
        <f t="shared" si="3"/>
        <v>8.3178092453744254E-4</v>
      </c>
      <c r="H21" s="11" t="s">
        <v>37</v>
      </c>
    </row>
    <row r="22" spans="1:8" ht="28" x14ac:dyDescent="0.2">
      <c r="A22" s="5" t="s">
        <v>41</v>
      </c>
      <c r="B22" s="4">
        <v>-4.9321849315173492E-5</v>
      </c>
      <c r="C22" s="4">
        <v>1.9900365330140809E-4</v>
      </c>
      <c r="D22" s="4">
        <f t="shared" si="0"/>
        <v>3.2383460877280466</v>
      </c>
      <c r="E22" s="4">
        <f t="shared" si="1"/>
        <v>3.2222135105610175E-4</v>
      </c>
      <c r="F22" s="4">
        <f>B22-E22</f>
        <v>-3.7154320037127524E-4</v>
      </c>
      <c r="G22" s="9">
        <f t="shared" si="3"/>
        <v>2.7289950174092827E-4</v>
      </c>
      <c r="H22" s="10" t="s">
        <v>36</v>
      </c>
    </row>
  </sheetData>
  <mergeCells count="2">
    <mergeCell ref="A14:G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13" t="s">
        <v>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3" spans="1:17" x14ac:dyDescent="0.2">
      <c r="A3" s="1" t="s">
        <v>43</v>
      </c>
    </row>
    <row r="4" spans="1:17" x14ac:dyDescent="0.2">
      <c r="A4" s="1" t="s">
        <v>44</v>
      </c>
      <c r="B4" s="1" t="s">
        <v>45</v>
      </c>
      <c r="C4" s="1" t="s">
        <v>46</v>
      </c>
      <c r="E4" s="1" t="s">
        <v>44</v>
      </c>
      <c r="F4" s="1" t="s">
        <v>45</v>
      </c>
      <c r="G4" s="1" t="s">
        <v>47</v>
      </c>
      <c r="I4" s="1" t="s">
        <v>44</v>
      </c>
      <c r="J4" s="1" t="s">
        <v>45</v>
      </c>
      <c r="K4" s="1" t="s">
        <v>48</v>
      </c>
    </row>
    <row r="5" spans="1:17" x14ac:dyDescent="0.2">
      <c r="A5" s="3" t="s">
        <v>17</v>
      </c>
      <c r="B5" s="4">
        <v>0.4299418177710661</v>
      </c>
      <c r="C5" s="6">
        <v>13</v>
      </c>
      <c r="E5" s="3" t="s">
        <v>17</v>
      </c>
      <c r="F5" s="4">
        <v>0.45613168576029428</v>
      </c>
      <c r="G5" s="6">
        <v>1</v>
      </c>
      <c r="I5" s="3" t="s">
        <v>17</v>
      </c>
      <c r="J5" s="4">
        <v>0.432676382292977</v>
      </c>
      <c r="K5" s="6">
        <v>1</v>
      </c>
    </row>
    <row r="6" spans="1:17" x14ac:dyDescent="0.2">
      <c r="A6" s="3" t="s">
        <v>18</v>
      </c>
      <c r="B6" s="4">
        <v>0.43415298304003169</v>
      </c>
      <c r="C6" s="6">
        <v>14</v>
      </c>
      <c r="E6" s="3" t="s">
        <v>18</v>
      </c>
      <c r="F6" s="4">
        <v>0.40796311505080352</v>
      </c>
      <c r="G6" s="6">
        <v>2</v>
      </c>
      <c r="I6" s="3" t="s">
        <v>18</v>
      </c>
      <c r="J6" s="4">
        <v>0.43141841851812091</v>
      </c>
      <c r="K6" s="6">
        <v>2</v>
      </c>
    </row>
    <row r="25" spans="1:8" ht="28" x14ac:dyDescent="0.2">
      <c r="A25" s="1" t="s">
        <v>49</v>
      </c>
    </row>
    <row r="27" spans="1:8" x14ac:dyDescent="0.2">
      <c r="A27" s="15" t="s">
        <v>50</v>
      </c>
      <c r="B27" s="16"/>
      <c r="C27" s="17"/>
      <c r="E27" s="15" t="s">
        <v>51</v>
      </c>
      <c r="F27" s="16"/>
      <c r="G27" s="17"/>
    </row>
    <row r="28" spans="1:8" x14ac:dyDescent="0.2">
      <c r="A28" s="1" t="s">
        <v>46</v>
      </c>
      <c r="B28" s="1" t="s">
        <v>52</v>
      </c>
      <c r="C28" s="1" t="s">
        <v>53</v>
      </c>
      <c r="D28" s="1" t="s">
        <v>54</v>
      </c>
      <c r="E28" s="1" t="s">
        <v>46</v>
      </c>
      <c r="F28" s="1" t="s">
        <v>52</v>
      </c>
      <c r="G28" s="1" t="s">
        <v>53</v>
      </c>
      <c r="H28" s="1" t="s">
        <v>54</v>
      </c>
    </row>
    <row r="29" spans="1:8" x14ac:dyDescent="0.2">
      <c r="A29" s="3">
        <v>13</v>
      </c>
      <c r="B29" s="4">
        <v>0.45419141367340488</v>
      </c>
      <c r="C29" s="4">
        <v>0.40680295826243318</v>
      </c>
      <c r="E29" s="3">
        <v>13</v>
      </c>
      <c r="F29" s="4">
        <v>0.4525393963902074</v>
      </c>
      <c r="G29" s="4">
        <v>0.40623350275821901</v>
      </c>
    </row>
    <row r="30" spans="1:8" x14ac:dyDescent="0.2">
      <c r="A30" s="3">
        <v>14</v>
      </c>
      <c r="B30" s="4">
        <v>0.45982188066221619</v>
      </c>
      <c r="C30" s="4">
        <v>0.40988927657385338</v>
      </c>
      <c r="E30" s="3">
        <v>14</v>
      </c>
      <c r="F30" s="4">
        <v>0.45797405231534871</v>
      </c>
      <c r="G30" s="4">
        <v>0.40892672260870849</v>
      </c>
    </row>
    <row r="52" spans="1:8" x14ac:dyDescent="0.2">
      <c r="A52" s="15" t="s">
        <v>55</v>
      </c>
      <c r="B52" s="16"/>
      <c r="C52" s="17"/>
      <c r="E52" s="15" t="s">
        <v>56</v>
      </c>
      <c r="F52" s="16"/>
      <c r="G52" s="17"/>
    </row>
    <row r="53" spans="1:8" x14ac:dyDescent="0.2">
      <c r="A53" s="1" t="s">
        <v>46</v>
      </c>
      <c r="B53" s="1" t="s">
        <v>57</v>
      </c>
      <c r="C53" s="1" t="s">
        <v>58</v>
      </c>
      <c r="D53" s="1" t="s">
        <v>59</v>
      </c>
      <c r="E53" s="1" t="s">
        <v>46</v>
      </c>
      <c r="F53" s="1" t="s">
        <v>57</v>
      </c>
      <c r="G53" s="1" t="s">
        <v>58</v>
      </c>
      <c r="H53" s="1" t="s">
        <v>59</v>
      </c>
    </row>
    <row r="54" spans="1:8" x14ac:dyDescent="0.2">
      <c r="A54" s="3">
        <v>13</v>
      </c>
      <c r="B54" s="4">
        <v>0.45419141367340488</v>
      </c>
      <c r="C54" s="4">
        <v>0.4525393963902074</v>
      </c>
      <c r="E54" s="3">
        <v>13</v>
      </c>
      <c r="F54" s="4">
        <v>0.40680295826243318</v>
      </c>
      <c r="G54" s="4">
        <v>0.40623350275821901</v>
      </c>
    </row>
    <row r="55" spans="1:8" x14ac:dyDescent="0.2">
      <c r="A55" s="3">
        <v>14</v>
      </c>
      <c r="B55" s="4">
        <v>0.45982188066221619</v>
      </c>
      <c r="C55" s="4">
        <v>0.45797405231534871</v>
      </c>
      <c r="E55" s="3">
        <v>14</v>
      </c>
      <c r="F55" s="4">
        <v>0.40988927657385338</v>
      </c>
      <c r="G55" s="4">
        <v>0.40892672260870849</v>
      </c>
    </row>
    <row r="77" spans="1:8" x14ac:dyDescent="0.2">
      <c r="A77" s="15" t="s">
        <v>60</v>
      </c>
      <c r="B77" s="16"/>
      <c r="C77" s="17"/>
      <c r="E77" s="15" t="s">
        <v>61</v>
      </c>
      <c r="F77" s="16"/>
      <c r="G77" s="17"/>
    </row>
    <row r="78" spans="1:8" ht="28" x14ac:dyDescent="0.2">
      <c r="A78" s="1" t="s">
        <v>47</v>
      </c>
      <c r="B78" s="1" t="s">
        <v>57</v>
      </c>
      <c r="C78" s="1" t="s">
        <v>58</v>
      </c>
      <c r="D78" s="1" t="s">
        <v>62</v>
      </c>
      <c r="E78" s="1" t="s">
        <v>47</v>
      </c>
      <c r="F78" s="1" t="s">
        <v>57</v>
      </c>
      <c r="G78" s="1" t="s">
        <v>58</v>
      </c>
      <c r="H78" s="1" t="s">
        <v>62</v>
      </c>
    </row>
    <row r="79" spans="1:8" x14ac:dyDescent="0.2">
      <c r="A79" s="3">
        <v>1</v>
      </c>
      <c r="B79" s="4">
        <v>0.45419141367340488</v>
      </c>
      <c r="C79" s="4">
        <v>0.4525393963902074</v>
      </c>
      <c r="E79" s="3">
        <v>1</v>
      </c>
      <c r="F79" s="4">
        <v>0.45982188066221619</v>
      </c>
      <c r="G79" s="4">
        <v>0.45797405231534871</v>
      </c>
    </row>
    <row r="80" spans="1:8" x14ac:dyDescent="0.2">
      <c r="A80" s="3">
        <v>2</v>
      </c>
      <c r="B80" s="4">
        <v>0.40680295826243318</v>
      </c>
      <c r="C80" s="4">
        <v>0.40623350275821901</v>
      </c>
      <c r="E80" s="3">
        <v>2</v>
      </c>
      <c r="F80" s="4">
        <v>0.40988927657385338</v>
      </c>
      <c r="G80" s="4">
        <v>0.40892672260870849</v>
      </c>
    </row>
    <row r="110" spans="1:1" ht="28" x14ac:dyDescent="0.2">
      <c r="A110" s="1" t="s">
        <v>63</v>
      </c>
    </row>
    <row r="111" spans="1:1" ht="208" x14ac:dyDescent="0.2">
      <c r="A111" s="7" t="s">
        <v>64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2026-05-06T16:05:46Z</dcterms:created>
  <dcterms:modified xsi:type="dcterms:W3CDTF">2026-05-06T16:38:24Z</dcterms:modified>
</cp:coreProperties>
</file>