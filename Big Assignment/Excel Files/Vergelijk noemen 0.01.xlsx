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2CCF5F01-ECF7-4A4B-B9E1-7B7372CA5F65}" xr6:coauthVersionLast="47" xr6:coauthVersionMax="47" xr10:uidLastSave="{00000000-0000-0000-0000-000000000000}"/>
  <bookViews>
    <workbookView xWindow="14820" yWindow="720" windowWidth="14580" windowHeight="18400" firstSheet="2" activeTab="3" xr2:uid="{00000000-000D-0000-FFFF-FFFF00000000}"/>
  </bookViews>
  <sheets>
    <sheet name="S1-14-R1" sheetId="1" r:id="rId1"/>
    <sheet name="S3-16-R3" sheetId="2" r:id="rId2"/>
    <sheet name="S1-16-R2" sheetId="3" r:id="rId3"/>
    <sheet name="S2-14-R4" sheetId="4" r:id="rId4"/>
    <sheet name="S3-12-R1" sheetId="5" r:id="rId5"/>
    <sheet name="S1-10-R2" sheetId="6" r:id="rId6"/>
    <sheet name="S3-14-R2" sheetId="7" r:id="rId7"/>
    <sheet name="S2-10-R3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4" l="1"/>
  <c r="J19" i="4"/>
</calcChain>
</file>

<file path=xl/sharedStrings.xml><?xml version="1.0" encoding="utf-8"?>
<sst xmlns="http://schemas.openxmlformats.org/spreadsheetml/2006/main" count="434" uniqueCount="76">
  <si>
    <t>Batch Mean Method + Variance Reduction  |  Strategy 1  |  Urgent slots 14  |  Rule 1</t>
  </si>
  <si>
    <t>PARAMETERS &amp; METHODE</t>
  </si>
  <si>
    <t>Warmup weken</t>
  </si>
  <si>
    <t>weken</t>
  </si>
  <si>
    <t>Autocorrelatie-lag L_ac</t>
  </si>
  <si>
    <t>Batchgrootte M (= 5·L_ac)</t>
  </si>
  <si>
    <t>weken per batch</t>
  </si>
  <si>
    <t>Aantal batches L</t>
  </si>
  <si>
    <t>batches</t>
  </si>
  <si>
    <t>Run length na warmup</t>
  </si>
  <si>
    <t>weken (= M × L)</t>
  </si>
  <si>
    <t>Totale simulatielengte</t>
  </si>
  <si>
    <t>weken (= warmup + run)</t>
  </si>
  <si>
    <t>E[Y_E] per batch = v_E</t>
  </si>
  <si>
    <t>elective scans per batch</t>
  </si>
  <si>
    <t>E[Y_U] per batch = v_U</t>
  </si>
  <si>
    <t>urgent scans per batch</t>
  </si>
  <si>
    <t>c_E raw / c_U raw</t>
  </si>
  <si>
    <t>0.00006217 / 0.00020741</t>
  </si>
  <si>
    <t>control-only coefficients</t>
  </si>
  <si>
    <t>c_E av / c_U av</t>
  </si>
  <si>
    <t>0.00009937 / 0.00011380</t>
  </si>
  <si>
    <t>combined coefficients</t>
  </si>
  <si>
    <t>SUMMARY STATISTIEKEN</t>
  </si>
  <si>
    <t>Method</t>
  </si>
  <si>
    <t>Mean</t>
  </si>
  <si>
    <t>Variance S²</t>
  </si>
  <si>
    <t>Std S</t>
  </si>
  <si>
    <t>95% CI half-width</t>
  </si>
  <si>
    <t>CI lower</t>
  </si>
  <si>
    <t>CI upper</t>
  </si>
  <si>
    <t>Var. reduction</t>
  </si>
  <si>
    <t>Raw batch means</t>
  </si>
  <si>
    <t>baseline</t>
  </si>
  <si>
    <t>Antithetic</t>
  </si>
  <si>
    <t>Control only</t>
  </si>
  <si>
    <t>Combined anti + ctrl</t>
  </si>
  <si>
    <t>PER-BATCH DETAIL</t>
  </si>
  <si>
    <t>Batch: X_l = average weekly OV in batch.  Antithetic: X_av,l = (X_normal,l + X_anti,l)/2.  Control: X_cv,l = X_normal,l − c_E(YE_l−v_E) − c_U(YU_l−v_U).  Combined: X_comb,l = X_av,l − c_E,av(YE_av,l−v_E) − c_U,av(YU_av,l−v_U).</t>
  </si>
  <si>
    <t>Batch l</t>
  </si>
  <si>
    <t>Week start</t>
  </si>
  <si>
    <t>Week einde</t>
  </si>
  <si>
    <t>X_normal</t>
  </si>
  <si>
    <t>X_anti</t>
  </si>
  <si>
    <t>X_av
anti</t>
  </si>
  <si>
    <t>YE_av</t>
  </si>
  <si>
    <t>YU_av</t>
  </si>
  <si>
    <t>X_cv
control only</t>
  </si>
  <si>
    <t>X_comb
anti+ctrl</t>
  </si>
  <si>
    <t>El.AppWT
avg</t>
  </si>
  <si>
    <t>Ur.ScanWT
avg</t>
  </si>
  <si>
    <t>OT
avg</t>
  </si>
  <si>
    <t>AVG</t>
  </si>
  <si>
    <t>Batch Mean Method + Variance Reduction  |  Strategy 3  |  Urgent slots 16  |  Rule 3</t>
  </si>
  <si>
    <t>0.00007477 / -0.00013641</t>
  </si>
  <si>
    <t>0.00007350 / -0.00003381</t>
  </si>
  <si>
    <t>Batch Mean Method + Variance Reduction  |  Strategy 1  |  Urgent slots 16  |  Rule 2</t>
  </si>
  <si>
    <t>0.00006956 / -0.00012864</t>
  </si>
  <si>
    <t>0.00007109 / -0.00011090</t>
  </si>
  <si>
    <t>Batch Mean Method + Variance Reduction  |  Strategy 2  |  Urgent slots 14  |  Rule 4</t>
  </si>
  <si>
    <t>0.00006797 / 0.00012777</t>
  </si>
  <si>
    <t>0.00008214 / 0.00019795</t>
  </si>
  <si>
    <t>Batch Mean Method + Variance Reduction  |  Strategy 3  |  Urgent slots 12  |  Rule 1</t>
  </si>
  <si>
    <t>0.00009695 / 0.00042880</t>
  </si>
  <si>
    <t>0.00010406 / 0.00029804</t>
  </si>
  <si>
    <t>Batch Mean Method + Variance Reduction  |  Strategy 1  |  Urgent slots 10  |  Rule 2</t>
  </si>
  <si>
    <t>0.00003969 / 0.00043428</t>
  </si>
  <si>
    <t>0.00027290 / 0.00053291</t>
  </si>
  <si>
    <t>Batch Mean Method + Variance Reduction  |  Strategy 3  |  Urgent slots 14  |  Rule 2</t>
  </si>
  <si>
    <t>0.00005391 / 0.00015866</t>
  </si>
  <si>
    <t>0.00009649 / 0.00005912</t>
  </si>
  <si>
    <t>Batch Mean Method + Variance Reduction  |  Strategy 2  |  Urgent slots 10  |  Rule 3</t>
  </si>
  <si>
    <t>0.00013893 / 0.00080020</t>
  </si>
  <si>
    <t>0.00023920 / 0.00061501</t>
  </si>
  <si>
    <t>average variance</t>
  </si>
  <si>
    <t>average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</si>
</sst>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#,##0.0000000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4B942"/>
      </patternFill>
    </fill>
    <fill>
      <patternFill patternType="solid">
        <fgColor rgb="FFE2EFDA"/>
      </patternFill>
    </fill>
    <fill>
      <patternFill patternType="solid">
        <fgColor rgb="FFD7BDE2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4" fillId="3" borderId="1" xfId="0" applyNumberFormat="1" applyFont="1" applyFill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0" fontId="4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164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64" fontId="4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7" fillId="0" borderId="1" xfId="0" applyNumberFormat="1" applyFont="1" applyBorder="1"/>
    <xf numFmtId="3" fontId="7" fillId="0" borderId="1" xfId="0" applyNumberFormat="1" applyFont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opLeftCell="D1" zoomScale="150" workbookViewId="0">
      <pane ySplit="23" topLeftCell="A24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39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195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2340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2390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27636.375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2437.5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18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21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0.43878040590561979</v>
      </c>
      <c r="C16" s="6">
        <v>2.4901173990568147E-4</v>
      </c>
      <c r="D16" s="3">
        <v>1.5780105826821361E-2</v>
      </c>
      <c r="E16" s="7">
        <v>8.9284353800169729E-3</v>
      </c>
      <c r="F16" s="8">
        <v>0.42985197052560281</v>
      </c>
      <c r="G16" s="8">
        <v>0.44770884128563682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0.44881391343260663</v>
      </c>
      <c r="C17" s="6">
        <v>1.506825330551873E-4</v>
      </c>
      <c r="D17" s="3">
        <v>1.227528138395154E-2</v>
      </c>
      <c r="E17" s="7">
        <v>6.9453942711747698E-3</v>
      </c>
      <c r="F17" s="8">
        <v>0.44186851916143188</v>
      </c>
      <c r="G17" s="8">
        <v>0.45575930770378142</v>
      </c>
      <c r="H17" s="11">
        <v>0.39487779527077099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0.45010081111859018</v>
      </c>
      <c r="C18" s="6">
        <v>1.173058898231658E-4</v>
      </c>
      <c r="D18" s="3">
        <v>1.0830784358630991E-2</v>
      </c>
      <c r="E18" s="7">
        <v>6.128093139690584E-3</v>
      </c>
      <c r="F18" s="8">
        <v>0.44397271797889959</v>
      </c>
      <c r="G18" s="8">
        <v>0.45622890425828078</v>
      </c>
      <c r="H18" s="12">
        <v>0.52891421959624119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0.45999430994230001</v>
      </c>
      <c r="C19" s="6">
        <v>1.287255970831026E-4</v>
      </c>
      <c r="D19" s="3">
        <v>1.134573034595405E-2</v>
      </c>
      <c r="E19" s="7">
        <v>6.4194512600016856E-3</v>
      </c>
      <c r="F19" s="8">
        <v>0.4535748586822983</v>
      </c>
      <c r="G19" s="8">
        <v>0.46641376120230171</v>
      </c>
      <c r="H19" s="14">
        <v>0.4830541036665173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245</v>
      </c>
      <c r="D24" s="18">
        <v>0.42942724139103983</v>
      </c>
      <c r="E24" s="18">
        <v>0.51830368370934277</v>
      </c>
      <c r="F24" s="10">
        <v>0.4738654625501913</v>
      </c>
      <c r="G24" s="19">
        <v>27591</v>
      </c>
      <c r="H24" s="19">
        <v>2428</v>
      </c>
      <c r="I24" s="7">
        <v>0.45009121544315062</v>
      </c>
      <c r="J24" s="13">
        <v>0.47945546481056289</v>
      </c>
      <c r="K24" s="18">
        <v>26.250184027602639</v>
      </c>
      <c r="L24" s="18">
        <v>2.8585293043301521</v>
      </c>
      <c r="M24" s="18">
        <v>0.81236486551240339</v>
      </c>
    </row>
    <row r="25" spans="1:13" ht="18" customHeight="1" x14ac:dyDescent="0.2">
      <c r="A25" s="20">
        <v>2</v>
      </c>
      <c r="B25" s="2">
        <v>246</v>
      </c>
      <c r="C25" s="2">
        <v>440</v>
      </c>
      <c r="D25" s="3">
        <v>0.40377169298195992</v>
      </c>
      <c r="E25" s="3">
        <v>0.4732240781463441</v>
      </c>
      <c r="F25" s="10">
        <v>0.43849788556415198</v>
      </c>
      <c r="G25" s="21">
        <v>27546</v>
      </c>
      <c r="H25" s="21">
        <v>2398.5</v>
      </c>
      <c r="I25" s="7">
        <v>0.43441729719309502</v>
      </c>
      <c r="J25" s="13">
        <v>0.45191664567865131</v>
      </c>
      <c r="K25" s="3">
        <v>21.50428102441802</v>
      </c>
      <c r="L25" s="3">
        <v>2.7944659151978311</v>
      </c>
      <c r="M25" s="3">
        <v>0.77284147912256773</v>
      </c>
    </row>
    <row r="26" spans="1:13" ht="18" customHeight="1" x14ac:dyDescent="0.2">
      <c r="A26" s="16">
        <v>3</v>
      </c>
      <c r="B26" s="17">
        <v>441</v>
      </c>
      <c r="C26" s="17">
        <v>635</v>
      </c>
      <c r="D26" s="18">
        <v>0.43808078711346471</v>
      </c>
      <c r="E26" s="18">
        <v>0.44103820362030999</v>
      </c>
      <c r="F26" s="10">
        <v>0.43955949536688732</v>
      </c>
      <c r="G26" s="19">
        <v>27541</v>
      </c>
      <c r="H26" s="19">
        <v>2453</v>
      </c>
      <c r="I26" s="7">
        <v>0.4416067008888328</v>
      </c>
      <c r="J26" s="13">
        <v>0.44727295096386233</v>
      </c>
      <c r="K26" s="18">
        <v>21.574828002912959</v>
      </c>
      <c r="L26" s="18">
        <v>2.8002411010030772</v>
      </c>
      <c r="M26" s="18">
        <v>0.7594207025991524</v>
      </c>
    </row>
    <row r="27" spans="1:13" ht="18" customHeight="1" x14ac:dyDescent="0.2">
      <c r="A27" s="20">
        <v>4</v>
      </c>
      <c r="B27" s="2">
        <v>636</v>
      </c>
      <c r="C27" s="2">
        <v>830</v>
      </c>
      <c r="D27" s="3">
        <v>0.43938406379581513</v>
      </c>
      <c r="E27" s="3">
        <v>0.50068536400619967</v>
      </c>
      <c r="F27" s="10">
        <v>0.47003471390100737</v>
      </c>
      <c r="G27" s="21">
        <v>27491</v>
      </c>
      <c r="H27" s="21">
        <v>2440</v>
      </c>
      <c r="I27" s="7">
        <v>0.44954815539990078</v>
      </c>
      <c r="J27" s="13">
        <v>0.4841960592642976</v>
      </c>
      <c r="K27" s="3">
        <v>24.775267451578681</v>
      </c>
      <c r="L27" s="3">
        <v>2.9030659544887798</v>
      </c>
      <c r="M27" s="3">
        <v>0.81965486267234766</v>
      </c>
    </row>
    <row r="28" spans="1:13" ht="18" customHeight="1" x14ac:dyDescent="0.2">
      <c r="A28" s="16">
        <v>5</v>
      </c>
      <c r="B28" s="17">
        <v>831</v>
      </c>
      <c r="C28" s="17">
        <v>1025</v>
      </c>
      <c r="D28" s="18">
        <v>0.45008896683931188</v>
      </c>
      <c r="E28" s="18">
        <v>0.4282537345502801</v>
      </c>
      <c r="F28" s="10">
        <v>0.43917135069479601</v>
      </c>
      <c r="G28" s="19">
        <v>27456.5</v>
      </c>
      <c r="H28" s="19">
        <v>2421</v>
      </c>
      <c r="I28" s="7">
        <v>0.46366466435927339</v>
      </c>
      <c r="J28" s="13">
        <v>0.4589231636123704</v>
      </c>
      <c r="K28" s="18">
        <v>20.149805634603371</v>
      </c>
      <c r="L28" s="18">
        <v>2.8730882829708411</v>
      </c>
      <c r="M28" s="18">
        <v>0.82394145782687844</v>
      </c>
    </row>
    <row r="29" spans="1:13" ht="18" customHeight="1" x14ac:dyDescent="0.2">
      <c r="A29" s="20">
        <v>6</v>
      </c>
      <c r="B29" s="2">
        <v>1026</v>
      </c>
      <c r="C29" s="2">
        <v>1220</v>
      </c>
      <c r="D29" s="3">
        <v>0.45077401379000931</v>
      </c>
      <c r="E29" s="3">
        <v>0.44685103919239322</v>
      </c>
      <c r="F29" s="10">
        <v>0.44881252649120118</v>
      </c>
      <c r="G29" s="21">
        <v>27534.5</v>
      </c>
      <c r="H29" s="21">
        <v>2444</v>
      </c>
      <c r="I29" s="7">
        <v>0.45278201073604563</v>
      </c>
      <c r="J29" s="13">
        <v>0.45819609276572337</v>
      </c>
      <c r="K29" s="3">
        <v>21.340828168602499</v>
      </c>
      <c r="L29" s="3">
        <v>2.8960540865313922</v>
      </c>
      <c r="M29" s="3">
        <v>0.83767256903016474</v>
      </c>
    </row>
    <row r="30" spans="1:13" ht="18" customHeight="1" x14ac:dyDescent="0.2">
      <c r="A30" s="16">
        <v>7</v>
      </c>
      <c r="B30" s="17">
        <v>1221</v>
      </c>
      <c r="C30" s="17">
        <v>1415</v>
      </c>
      <c r="D30" s="18">
        <v>0.45699959997562389</v>
      </c>
      <c r="E30" s="18">
        <v>0.43442619561460138</v>
      </c>
      <c r="F30" s="10">
        <v>0.44571289779511269</v>
      </c>
      <c r="G30" s="19">
        <v>27472.5</v>
      </c>
      <c r="H30" s="19">
        <v>2407.5</v>
      </c>
      <c r="I30" s="7">
        <v>0.46811555682472722</v>
      </c>
      <c r="J30" s="13">
        <v>0.46541111091769549</v>
      </c>
      <c r="K30" s="18">
        <v>21.31761834510591</v>
      </c>
      <c r="L30" s="18">
        <v>2.8694008116681968</v>
      </c>
      <c r="M30" s="18">
        <v>0.7934366225805618</v>
      </c>
    </row>
    <row r="31" spans="1:13" ht="18" customHeight="1" x14ac:dyDescent="0.2">
      <c r="A31" s="20">
        <v>8</v>
      </c>
      <c r="B31" s="2">
        <v>1416</v>
      </c>
      <c r="C31" s="2">
        <v>1610</v>
      </c>
      <c r="D31" s="3">
        <v>0.45531660097387178</v>
      </c>
      <c r="E31" s="3">
        <v>0.43881941764263932</v>
      </c>
      <c r="F31" s="10">
        <v>0.44706800930825552</v>
      </c>
      <c r="G31" s="21">
        <v>27529</v>
      </c>
      <c r="H31" s="21">
        <v>2473.5</v>
      </c>
      <c r="I31" s="7">
        <v>0.46487282711517769</v>
      </c>
      <c r="J31" s="13">
        <v>0.45364097980520418</v>
      </c>
      <c r="K31" s="3">
        <v>21.286903160878349</v>
      </c>
      <c r="L31" s="3">
        <v>2.8832422715843888</v>
      </c>
      <c r="M31" s="3">
        <v>0.83043230356577236</v>
      </c>
    </row>
    <row r="32" spans="1:13" ht="18" customHeight="1" x14ac:dyDescent="0.2">
      <c r="A32" s="16">
        <v>9</v>
      </c>
      <c r="B32" s="17">
        <v>1611</v>
      </c>
      <c r="C32" s="17">
        <v>1805</v>
      </c>
      <c r="D32" s="18">
        <v>0.44729919372950921</v>
      </c>
      <c r="E32" s="18">
        <v>0.45770213428387951</v>
      </c>
      <c r="F32" s="10">
        <v>0.45250066400669431</v>
      </c>
      <c r="G32" s="19">
        <v>27602.5</v>
      </c>
      <c r="H32" s="19">
        <v>2472.5</v>
      </c>
      <c r="I32" s="7">
        <v>0.43593550791075658</v>
      </c>
      <c r="J32" s="13">
        <v>0.45188377382614647</v>
      </c>
      <c r="K32" s="18">
        <v>23.602448300944541</v>
      </c>
      <c r="L32" s="18">
        <v>2.8080891027953618</v>
      </c>
      <c r="M32" s="18">
        <v>0.78161925671266852</v>
      </c>
    </row>
    <row r="33" spans="1:13" ht="18" customHeight="1" x14ac:dyDescent="0.2">
      <c r="A33" s="20">
        <v>10</v>
      </c>
      <c r="B33" s="2">
        <v>1806</v>
      </c>
      <c r="C33" s="2">
        <v>2000</v>
      </c>
      <c r="D33" s="3">
        <v>0.43807642659484902</v>
      </c>
      <c r="E33" s="3">
        <v>0.4390380247259304</v>
      </c>
      <c r="F33" s="10">
        <v>0.43855722566038968</v>
      </c>
      <c r="G33" s="21">
        <v>27524.5</v>
      </c>
      <c r="H33" s="21">
        <v>2426.5</v>
      </c>
      <c r="I33" s="7">
        <v>0.44655046573684731</v>
      </c>
      <c r="J33" s="13">
        <v>0.45092600417245671</v>
      </c>
      <c r="K33" s="3">
        <v>20.322945109346431</v>
      </c>
      <c r="L33" s="3">
        <v>2.8582858286570918</v>
      </c>
      <c r="M33" s="3">
        <v>0.76970378132367723</v>
      </c>
    </row>
    <row r="34" spans="1:13" ht="18" customHeight="1" x14ac:dyDescent="0.2">
      <c r="A34" s="16">
        <v>11</v>
      </c>
      <c r="B34" s="17">
        <v>2001</v>
      </c>
      <c r="C34" s="17">
        <v>2195</v>
      </c>
      <c r="D34" s="18">
        <v>0.43915719123466251</v>
      </c>
      <c r="E34" s="18">
        <v>0.46998730270897537</v>
      </c>
      <c r="F34" s="10">
        <v>0.45457224697181892</v>
      </c>
      <c r="G34" s="19">
        <v>27535.5</v>
      </c>
      <c r="H34" s="19">
        <v>2481.5</v>
      </c>
      <c r="I34" s="7">
        <v>0.44555932651861202</v>
      </c>
      <c r="J34" s="13">
        <v>0.45958890774989708</v>
      </c>
      <c r="K34" s="18">
        <v>22.805198432541179</v>
      </c>
      <c r="L34" s="18">
        <v>2.869443163860236</v>
      </c>
      <c r="M34" s="18">
        <v>0.85849420929256515</v>
      </c>
    </row>
    <row r="35" spans="1:13" ht="18" customHeight="1" x14ac:dyDescent="0.2">
      <c r="A35" s="20">
        <v>12</v>
      </c>
      <c r="B35" s="2">
        <v>2196</v>
      </c>
      <c r="C35" s="2">
        <v>2390</v>
      </c>
      <c r="D35" s="3">
        <v>0.41698909244732091</v>
      </c>
      <c r="E35" s="3">
        <v>0.45783987331422721</v>
      </c>
      <c r="F35" s="10">
        <v>0.437414482880774</v>
      </c>
      <c r="G35" s="21">
        <v>27436</v>
      </c>
      <c r="H35" s="21">
        <v>2427</v>
      </c>
      <c r="I35" s="7">
        <v>0.44806600529666257</v>
      </c>
      <c r="J35" s="13">
        <v>0.45852056574073152</v>
      </c>
      <c r="K35" s="3">
        <v>20.459726354652311</v>
      </c>
      <c r="L35" s="3">
        <v>2.840673576927736</v>
      </c>
      <c r="M35" s="3">
        <v>0.79556565659003442</v>
      </c>
    </row>
    <row r="36" spans="1:13" ht="18" customHeight="1" x14ac:dyDescent="0.2">
      <c r="A36" s="5" t="s">
        <v>52</v>
      </c>
      <c r="B36" s="22"/>
      <c r="C36" s="22"/>
      <c r="D36" s="23">
        <v>0.43878040590561979</v>
      </c>
      <c r="E36" s="23">
        <v>0.45884742095959358</v>
      </c>
      <c r="F36" s="23">
        <v>0.44881391343260663</v>
      </c>
      <c r="G36" s="24">
        <v>27521.666666666672</v>
      </c>
      <c r="H36" s="24">
        <v>2439.416666666667</v>
      </c>
      <c r="I36" s="23">
        <v>0.45010081111859018</v>
      </c>
      <c r="J36" s="25">
        <v>0.45999430994230001</v>
      </c>
      <c r="K36" s="23">
        <v>22.115836167765568</v>
      </c>
      <c r="L36" s="23">
        <v>2.8545482833345899</v>
      </c>
      <c r="M36" s="23">
        <v>0.80459564723573285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topLeftCell="F1" zoomScale="135" workbookViewId="0">
      <pane ySplit="23" topLeftCell="A24" activePane="bottomLeft" state="frozen"/>
      <selection pane="bottomLeft" sqref="A1:M1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184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920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11040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11090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130387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11500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54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55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0.45260531677556842</v>
      </c>
      <c r="C16" s="6">
        <v>2.403367597909596E-3</v>
      </c>
      <c r="D16" s="3">
        <v>4.9024153209510882E-2</v>
      </c>
      <c r="E16" s="7">
        <v>2.7738025891258469E-2</v>
      </c>
      <c r="F16" s="8">
        <v>0.42486729088431002</v>
      </c>
      <c r="G16" s="8">
        <v>0.48034334266682688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0.45188393436919289</v>
      </c>
      <c r="C17" s="6">
        <v>1.0100259737423241E-3</v>
      </c>
      <c r="D17" s="3">
        <v>3.178090580430841E-2</v>
      </c>
      <c r="E17" s="7">
        <v>1.7981740230783451E-2</v>
      </c>
      <c r="F17" s="8">
        <v>0.43390219413840941</v>
      </c>
      <c r="G17" s="8">
        <v>0.46986567459997641</v>
      </c>
      <c r="H17" s="11">
        <v>0.57974553097044934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0.47456797647774018</v>
      </c>
      <c r="C18" s="6">
        <v>1.9502639551593249E-3</v>
      </c>
      <c r="D18" s="3">
        <v>4.4161792934156618E-2</v>
      </c>
      <c r="E18" s="7">
        <v>2.4986886577663198E-2</v>
      </c>
      <c r="F18" s="8">
        <v>0.44958108990007711</v>
      </c>
      <c r="G18" s="8">
        <v>0.49955486305540342</v>
      </c>
      <c r="H18" s="12">
        <v>0.18852864752956319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0.47591932330155728</v>
      </c>
      <c r="C19" s="6">
        <v>6.9797295211819293E-4</v>
      </c>
      <c r="D19" s="3">
        <v>2.6419177733574391E-2</v>
      </c>
      <c r="E19" s="7">
        <v>1.4948056988722791E-2</v>
      </c>
      <c r="F19" s="8">
        <v>0.46097126631283453</v>
      </c>
      <c r="G19" s="8">
        <v>0.4908673802902801</v>
      </c>
      <c r="H19" s="14">
        <v>0.70958543639962668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970</v>
      </c>
      <c r="D24" s="18">
        <v>0.38506176272352249</v>
      </c>
      <c r="E24" s="18">
        <v>0.49687486052714441</v>
      </c>
      <c r="F24" s="10">
        <v>0.44096831162533351</v>
      </c>
      <c r="G24" s="19">
        <v>129869</v>
      </c>
      <c r="H24" s="19">
        <v>11473.5</v>
      </c>
      <c r="I24" s="7">
        <v>0.46640136960653772</v>
      </c>
      <c r="J24" s="13">
        <v>0.47814329801799482</v>
      </c>
      <c r="K24" s="18">
        <v>36.299577111135036</v>
      </c>
      <c r="L24" s="18">
        <v>2.0240946022457682</v>
      </c>
      <c r="M24" s="18">
        <v>0.75995685362508514</v>
      </c>
    </row>
    <row r="25" spans="1:13" ht="18" customHeight="1" x14ac:dyDescent="0.2">
      <c r="A25" s="20">
        <v>2</v>
      </c>
      <c r="B25" s="2">
        <v>971</v>
      </c>
      <c r="C25" s="2">
        <v>1890</v>
      </c>
      <c r="D25" s="3">
        <v>0.42643817302297121</v>
      </c>
      <c r="E25" s="3">
        <v>0.42209789616201532</v>
      </c>
      <c r="F25" s="10">
        <v>0.42426803459249318</v>
      </c>
      <c r="G25" s="21">
        <v>129877.5</v>
      </c>
      <c r="H25" s="21">
        <v>11524.5</v>
      </c>
      <c r="I25" s="7">
        <v>0.48348744829669649</v>
      </c>
      <c r="J25" s="13">
        <v>0.46254272556319542</v>
      </c>
      <c r="K25" s="3">
        <v>32.883066439435368</v>
      </c>
      <c r="L25" s="3">
        <v>2.056819466362688</v>
      </c>
      <c r="M25" s="3">
        <v>0.77936321801439656</v>
      </c>
    </row>
    <row r="26" spans="1:13" ht="18" customHeight="1" x14ac:dyDescent="0.2">
      <c r="A26" s="16">
        <v>3</v>
      </c>
      <c r="B26" s="17">
        <v>1891</v>
      </c>
      <c r="C26" s="17">
        <v>2810</v>
      </c>
      <c r="D26" s="18">
        <v>0.43719099240666193</v>
      </c>
      <c r="E26" s="18">
        <v>0.48338355920326492</v>
      </c>
      <c r="F26" s="10">
        <v>0.46028727580496342</v>
      </c>
      <c r="G26" s="19">
        <v>130458.5</v>
      </c>
      <c r="H26" s="19">
        <v>11443.5</v>
      </c>
      <c r="I26" s="7">
        <v>0.43330027235082502</v>
      </c>
      <c r="J26" s="13">
        <v>0.45312191156368747</v>
      </c>
      <c r="K26" s="18">
        <v>39.299429003491262</v>
      </c>
      <c r="L26" s="18">
        <v>2.037258928486211</v>
      </c>
      <c r="M26" s="18">
        <v>0.76287982826437117</v>
      </c>
    </row>
    <row r="27" spans="1:13" ht="18" customHeight="1" x14ac:dyDescent="0.2">
      <c r="A27" s="20">
        <v>4</v>
      </c>
      <c r="B27" s="2">
        <v>2811</v>
      </c>
      <c r="C27" s="2">
        <v>3730</v>
      </c>
      <c r="D27" s="3">
        <v>0.43228234785769032</v>
      </c>
      <c r="E27" s="3">
        <v>0.43173436433629231</v>
      </c>
      <c r="F27" s="10">
        <v>0.43200835609699129</v>
      </c>
      <c r="G27" s="21">
        <v>129991.5</v>
      </c>
      <c r="H27" s="21">
        <v>11469.5</v>
      </c>
      <c r="I27" s="7">
        <v>0.45527198274489022</v>
      </c>
      <c r="J27" s="13">
        <v>0.46004481442758699</v>
      </c>
      <c r="K27" s="3">
        <v>34.813497513376987</v>
      </c>
      <c r="L27" s="3">
        <v>2.023066409513441</v>
      </c>
      <c r="M27" s="3">
        <v>0.77173784938836143</v>
      </c>
    </row>
    <row r="28" spans="1:13" ht="18" customHeight="1" x14ac:dyDescent="0.2">
      <c r="A28" s="16">
        <v>5</v>
      </c>
      <c r="B28" s="17">
        <v>3731</v>
      </c>
      <c r="C28" s="17">
        <v>4650</v>
      </c>
      <c r="D28" s="18">
        <v>0.54585713572078387</v>
      </c>
      <c r="E28" s="18">
        <v>0.51359934363179471</v>
      </c>
      <c r="F28" s="10">
        <v>0.52972823967628924</v>
      </c>
      <c r="G28" s="19">
        <v>130310.5</v>
      </c>
      <c r="H28" s="19">
        <v>11432.5</v>
      </c>
      <c r="I28" s="7">
        <v>0.5652007029626066</v>
      </c>
      <c r="J28" s="13">
        <v>0.53306837259485695</v>
      </c>
      <c r="K28" s="18">
        <v>50.888920372898923</v>
      </c>
      <c r="L28" s="18">
        <v>2.0413619942527328</v>
      </c>
      <c r="M28" s="18">
        <v>0.7681714083958654</v>
      </c>
    </row>
    <row r="29" spans="1:13" ht="18" customHeight="1" x14ac:dyDescent="0.2">
      <c r="A29" s="20">
        <v>6</v>
      </c>
      <c r="B29" s="2">
        <v>4651</v>
      </c>
      <c r="C29" s="2">
        <v>5570</v>
      </c>
      <c r="D29" s="3">
        <v>0.52362992834137589</v>
      </c>
      <c r="E29" s="3">
        <v>0.46817421496330092</v>
      </c>
      <c r="F29" s="10">
        <v>0.49590207165233829</v>
      </c>
      <c r="G29" s="21">
        <v>130035</v>
      </c>
      <c r="H29" s="21">
        <v>11531.5</v>
      </c>
      <c r="I29" s="7">
        <v>0.55351417408053172</v>
      </c>
      <c r="J29" s="13">
        <v>0.52283780318994133</v>
      </c>
      <c r="K29" s="3">
        <v>45.357538537241062</v>
      </c>
      <c r="L29" s="3">
        <v>2.0332505089474169</v>
      </c>
      <c r="M29" s="3">
        <v>0.75597224064327917</v>
      </c>
    </row>
    <row r="30" spans="1:13" ht="18" customHeight="1" x14ac:dyDescent="0.2">
      <c r="A30" s="16">
        <v>7</v>
      </c>
      <c r="B30" s="17">
        <v>5571</v>
      </c>
      <c r="C30" s="17">
        <v>6490</v>
      </c>
      <c r="D30" s="18">
        <v>0.51592107325349201</v>
      </c>
      <c r="E30" s="18">
        <v>0.39527726661269241</v>
      </c>
      <c r="F30" s="10">
        <v>0.45559916993309219</v>
      </c>
      <c r="G30" s="19">
        <v>130051.5</v>
      </c>
      <c r="H30" s="19">
        <v>11348</v>
      </c>
      <c r="I30" s="7">
        <v>0.47879526501642639</v>
      </c>
      <c r="J30" s="13">
        <v>0.4751176771945636</v>
      </c>
      <c r="K30" s="18">
        <v>38.996448079733497</v>
      </c>
      <c r="L30" s="18">
        <v>2.0112970965549639</v>
      </c>
      <c r="M30" s="18">
        <v>0.75699550079043443</v>
      </c>
    </row>
    <row r="31" spans="1:13" ht="18" customHeight="1" x14ac:dyDescent="0.2">
      <c r="A31" s="20">
        <v>8</v>
      </c>
      <c r="B31" s="2">
        <v>6491</v>
      </c>
      <c r="C31" s="2">
        <v>7410</v>
      </c>
      <c r="D31" s="3">
        <v>0.43399827716108669</v>
      </c>
      <c r="E31" s="3">
        <v>0.45728979169285411</v>
      </c>
      <c r="F31" s="10">
        <v>0.44564403442697043</v>
      </c>
      <c r="G31" s="21">
        <v>130259.5</v>
      </c>
      <c r="H31" s="21">
        <v>11514</v>
      </c>
      <c r="I31" s="7">
        <v>0.47045180043570362</v>
      </c>
      <c r="J31" s="13">
        <v>0.45548816522049212</v>
      </c>
      <c r="K31" s="3">
        <v>36.965752698748908</v>
      </c>
      <c r="L31" s="3">
        <v>2.030488129552614</v>
      </c>
      <c r="M31" s="3">
        <v>0.77701978752393186</v>
      </c>
    </row>
    <row r="32" spans="1:13" ht="18" customHeight="1" x14ac:dyDescent="0.2">
      <c r="A32" s="16">
        <v>9</v>
      </c>
      <c r="B32" s="17">
        <v>7411</v>
      </c>
      <c r="C32" s="17">
        <v>8330</v>
      </c>
      <c r="D32" s="18">
        <v>0.43888546128940198</v>
      </c>
      <c r="E32" s="18">
        <v>0.44099262209781759</v>
      </c>
      <c r="F32" s="10">
        <v>0.43993904169360992</v>
      </c>
      <c r="G32" s="19">
        <v>130052.5</v>
      </c>
      <c r="H32" s="19">
        <v>11447</v>
      </c>
      <c r="I32" s="7">
        <v>0.42622050455971561</v>
      </c>
      <c r="J32" s="13">
        <v>0.46273146004663029</v>
      </c>
      <c r="K32" s="18">
        <v>36.042736408100573</v>
      </c>
      <c r="L32" s="18">
        <v>2.028590496237102</v>
      </c>
      <c r="M32" s="18">
        <v>0.75052130277875073</v>
      </c>
    </row>
    <row r="33" spans="1:13" ht="18" customHeight="1" x14ac:dyDescent="0.2">
      <c r="A33" s="20">
        <v>10</v>
      </c>
      <c r="B33" s="2">
        <v>8331</v>
      </c>
      <c r="C33" s="2">
        <v>9250</v>
      </c>
      <c r="D33" s="3">
        <v>0.45321426789748748</v>
      </c>
      <c r="E33" s="3">
        <v>0.40341844036397789</v>
      </c>
      <c r="F33" s="10">
        <v>0.42831635413073271</v>
      </c>
      <c r="G33" s="21">
        <v>129574</v>
      </c>
      <c r="H33" s="21">
        <v>11483</v>
      </c>
      <c r="I33" s="7">
        <v>0.48168190378581482</v>
      </c>
      <c r="J33" s="13">
        <v>0.4874939228103311</v>
      </c>
      <c r="K33" s="3">
        <v>33.960733078652048</v>
      </c>
      <c r="L33" s="3">
        <v>2.0355222008202341</v>
      </c>
      <c r="M33" s="3">
        <v>0.77031680243144085</v>
      </c>
    </row>
    <row r="34" spans="1:13" ht="18" customHeight="1" x14ac:dyDescent="0.2">
      <c r="A34" s="16">
        <v>11</v>
      </c>
      <c r="B34" s="17">
        <v>9251</v>
      </c>
      <c r="C34" s="17">
        <v>10170</v>
      </c>
      <c r="D34" s="18">
        <v>0.42435380119975069</v>
      </c>
      <c r="E34" s="18">
        <v>0.41583648616248442</v>
      </c>
      <c r="F34" s="10">
        <v>0.42009514368111761</v>
      </c>
      <c r="G34" s="19">
        <v>129860.5</v>
      </c>
      <c r="H34" s="19">
        <v>11417</v>
      </c>
      <c r="I34" s="7">
        <v>0.44190178919993278</v>
      </c>
      <c r="J34" s="13">
        <v>0.45598445842635071</v>
      </c>
      <c r="K34" s="18">
        <v>32.409583365559932</v>
      </c>
      <c r="L34" s="18">
        <v>2.0446286128322049</v>
      </c>
      <c r="M34" s="18">
        <v>0.76632440339012975</v>
      </c>
    </row>
    <row r="35" spans="1:13" ht="18" customHeight="1" x14ac:dyDescent="0.2">
      <c r="A35" s="20">
        <v>12</v>
      </c>
      <c r="B35" s="2">
        <v>10171</v>
      </c>
      <c r="C35" s="2">
        <v>11090</v>
      </c>
      <c r="D35" s="3">
        <v>0.41443058043259701</v>
      </c>
      <c r="E35" s="3">
        <v>0.48527177780016961</v>
      </c>
      <c r="F35" s="10">
        <v>0.44985117911638328</v>
      </c>
      <c r="G35" s="21">
        <v>130211.5</v>
      </c>
      <c r="H35" s="21">
        <v>11550.5</v>
      </c>
      <c r="I35" s="7">
        <v>0.43858850469320232</v>
      </c>
      <c r="J35" s="13">
        <v>0.46445727056305691</v>
      </c>
      <c r="K35" s="3">
        <v>37.586241430978291</v>
      </c>
      <c r="L35" s="3">
        <v>2.0351119639593271</v>
      </c>
      <c r="M35" s="3">
        <v>0.772094578606626</v>
      </c>
    </row>
    <row r="36" spans="1:13" ht="18" customHeight="1" x14ac:dyDescent="0.2">
      <c r="A36" s="5" t="s">
        <v>52</v>
      </c>
      <c r="B36" s="22"/>
      <c r="C36" s="22"/>
      <c r="D36" s="23">
        <v>0.45260531677556842</v>
      </c>
      <c r="E36" s="23">
        <v>0.45116255196281729</v>
      </c>
      <c r="F36" s="23">
        <v>0.45188393436919289</v>
      </c>
      <c r="G36" s="24">
        <v>130045.9583333333</v>
      </c>
      <c r="H36" s="24">
        <v>11469.54166666667</v>
      </c>
      <c r="I36" s="23">
        <v>0.47456797647774018</v>
      </c>
      <c r="J36" s="25">
        <v>0.47591932330155728</v>
      </c>
      <c r="K36" s="23">
        <v>37.958627003279318</v>
      </c>
      <c r="L36" s="23">
        <v>2.0334575341470589</v>
      </c>
      <c r="M36" s="23">
        <v>0.76594614782105597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workbookViewId="0">
      <pane ySplit="23" topLeftCell="A24" activePane="bottomLeft" state="frozen"/>
      <selection pane="bottomLeft" sqref="A1:M1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185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925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11100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11150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131095.625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11562.5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57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58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0.51060243618709267</v>
      </c>
      <c r="C16" s="6">
        <v>2.461785670083341E-3</v>
      </c>
      <c r="D16" s="3">
        <v>4.9616385096894561E-2</v>
      </c>
      <c r="E16" s="7">
        <v>2.8073112626070051E-2</v>
      </c>
      <c r="F16" s="8">
        <v>0.48252932356102263</v>
      </c>
      <c r="G16" s="8">
        <v>0.53867554881316271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0.51003196608194779</v>
      </c>
      <c r="C17" s="6">
        <v>1.01914820041441E-3</v>
      </c>
      <c r="D17" s="3">
        <v>3.1924100620290149E-2</v>
      </c>
      <c r="E17" s="7">
        <v>1.8062760325025989E-2</v>
      </c>
      <c r="F17" s="8">
        <v>0.49196920575692182</v>
      </c>
      <c r="G17" s="8">
        <v>0.52809472640697375</v>
      </c>
      <c r="H17" s="11">
        <v>0.58601261970141061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0.530842810268643</v>
      </c>
      <c r="C18" s="6">
        <v>2.0015980353423031E-3</v>
      </c>
      <c r="D18" s="3">
        <v>4.4739222560772153E-2</v>
      </c>
      <c r="E18" s="7">
        <v>2.531359814502045E-2</v>
      </c>
      <c r="F18" s="8">
        <v>0.50552921212362256</v>
      </c>
      <c r="G18" s="8">
        <v>0.55615640841366343</v>
      </c>
      <c r="H18" s="12">
        <v>0.1869324532730173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0.53063457005635717</v>
      </c>
      <c r="C19" s="6">
        <v>6.8566513493253565E-4</v>
      </c>
      <c r="D19" s="3">
        <v>2.6185208323260208E-2</v>
      </c>
      <c r="E19" s="7">
        <v>1.48156763327363E-2</v>
      </c>
      <c r="F19" s="8">
        <v>0.51581889372362089</v>
      </c>
      <c r="G19" s="8">
        <v>0.54545024638909345</v>
      </c>
      <c r="H19" s="14">
        <v>0.72147651062193274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975</v>
      </c>
      <c r="D24" s="18">
        <v>0.44454749386336972</v>
      </c>
      <c r="E24" s="18">
        <v>0.55502140259377708</v>
      </c>
      <c r="F24" s="10">
        <v>0.49978444822857337</v>
      </c>
      <c r="G24" s="19">
        <v>130586.5</v>
      </c>
      <c r="H24" s="19">
        <v>11541</v>
      </c>
      <c r="I24" s="7">
        <v>0.52019426199002616</v>
      </c>
      <c r="J24" s="13">
        <v>0.53359191898903291</v>
      </c>
      <c r="K24" s="18">
        <v>37.116462347082667</v>
      </c>
      <c r="L24" s="18">
        <v>2.509678122606303</v>
      </c>
      <c r="M24" s="18">
        <v>0.48099508825229981</v>
      </c>
    </row>
    <row r="25" spans="1:13" ht="18" customHeight="1" x14ac:dyDescent="0.2">
      <c r="A25" s="20">
        <v>2</v>
      </c>
      <c r="B25" s="2">
        <v>976</v>
      </c>
      <c r="C25" s="2">
        <v>1900</v>
      </c>
      <c r="D25" s="3">
        <v>0.48211901433966298</v>
      </c>
      <c r="E25" s="3">
        <v>0.47774561625752909</v>
      </c>
      <c r="F25" s="10">
        <v>0.47993231529859598</v>
      </c>
      <c r="G25" s="21">
        <v>130515</v>
      </c>
      <c r="H25" s="21">
        <v>11571</v>
      </c>
      <c r="I25" s="7">
        <v>0.54035334906315136</v>
      </c>
      <c r="J25" s="13">
        <v>0.52214955210758685</v>
      </c>
      <c r="K25" s="3">
        <v>33.558383810442621</v>
      </c>
      <c r="L25" s="3">
        <v>2.5216202764136519</v>
      </c>
      <c r="M25" s="3">
        <v>0.48086991520742828</v>
      </c>
    </row>
    <row r="26" spans="1:13" ht="18" customHeight="1" x14ac:dyDescent="0.2">
      <c r="A26" s="16">
        <v>3</v>
      </c>
      <c r="B26" s="17">
        <v>1901</v>
      </c>
      <c r="C26" s="17">
        <v>2825</v>
      </c>
      <c r="D26" s="18">
        <v>0.49469426016768198</v>
      </c>
      <c r="E26" s="18">
        <v>0.54547805662720261</v>
      </c>
      <c r="F26" s="10">
        <v>0.52008615839744232</v>
      </c>
      <c r="G26" s="19">
        <v>131263.5</v>
      </c>
      <c r="H26" s="19">
        <v>11513.5</v>
      </c>
      <c r="I26" s="7">
        <v>0.48124287867920612</v>
      </c>
      <c r="J26" s="13">
        <v>0.50271828263974783</v>
      </c>
      <c r="K26" s="18">
        <v>40.681692295982707</v>
      </c>
      <c r="L26" s="18">
        <v>2.5013990525779071</v>
      </c>
      <c r="M26" s="18">
        <v>0.46830319137936582</v>
      </c>
    </row>
    <row r="27" spans="1:13" ht="18" customHeight="1" x14ac:dyDescent="0.2">
      <c r="A27" s="20">
        <v>4</v>
      </c>
      <c r="B27" s="2">
        <v>2826</v>
      </c>
      <c r="C27" s="2">
        <v>3750</v>
      </c>
      <c r="D27" s="3">
        <v>0.48541261944087571</v>
      </c>
      <c r="E27" s="3">
        <v>0.49012560265131833</v>
      </c>
      <c r="F27" s="10">
        <v>0.48776911104609699</v>
      </c>
      <c r="G27" s="21">
        <v>130680</v>
      </c>
      <c r="H27" s="21">
        <v>11529.5</v>
      </c>
      <c r="I27" s="7">
        <v>0.50957814415895408</v>
      </c>
      <c r="J27" s="13">
        <v>0.51365461705412441</v>
      </c>
      <c r="K27" s="3">
        <v>35.322292534313277</v>
      </c>
      <c r="L27" s="3">
        <v>2.4976563279338042</v>
      </c>
      <c r="M27" s="3">
        <v>0.47923289918876749</v>
      </c>
    </row>
    <row r="28" spans="1:13" ht="18" customHeight="1" x14ac:dyDescent="0.2">
      <c r="A28" s="16">
        <v>5</v>
      </c>
      <c r="B28" s="17">
        <v>3751</v>
      </c>
      <c r="C28" s="17">
        <v>4675</v>
      </c>
      <c r="D28" s="18">
        <v>0.60113224864825154</v>
      </c>
      <c r="E28" s="18">
        <v>0.56414922462814132</v>
      </c>
      <c r="F28" s="10">
        <v>0.58264073663819649</v>
      </c>
      <c r="G28" s="19">
        <v>130982.5</v>
      </c>
      <c r="H28" s="19">
        <v>11484</v>
      </c>
      <c r="I28" s="7">
        <v>0.61939666336738886</v>
      </c>
      <c r="J28" s="13">
        <v>0.58197651531392947</v>
      </c>
      <c r="K28" s="18">
        <v>51.208324042113567</v>
      </c>
      <c r="L28" s="18">
        <v>2.500463556059112</v>
      </c>
      <c r="M28" s="18">
        <v>0.47799061965846962</v>
      </c>
    </row>
    <row r="29" spans="1:13" ht="18" customHeight="1" x14ac:dyDescent="0.2">
      <c r="A29" s="20">
        <v>6</v>
      </c>
      <c r="B29" s="2">
        <v>4676</v>
      </c>
      <c r="C29" s="2">
        <v>5600</v>
      </c>
      <c r="D29" s="3">
        <v>0.58418699601221002</v>
      </c>
      <c r="E29" s="3">
        <v>0.52912149438304779</v>
      </c>
      <c r="F29" s="10">
        <v>0.55665424519762885</v>
      </c>
      <c r="G29" s="21">
        <v>130784</v>
      </c>
      <c r="H29" s="21">
        <v>11578</v>
      </c>
      <c r="I29" s="7">
        <v>0.60617907592710774</v>
      </c>
      <c r="J29" s="13">
        <v>0.5805255504666762</v>
      </c>
      <c r="K29" s="3">
        <v>46.355654280692832</v>
      </c>
      <c r="L29" s="3">
        <v>2.5265495845986869</v>
      </c>
      <c r="M29" s="3">
        <v>0.48133151088757631</v>
      </c>
    </row>
    <row r="30" spans="1:13" ht="18" customHeight="1" x14ac:dyDescent="0.2">
      <c r="A30" s="16">
        <v>7</v>
      </c>
      <c r="B30" s="17">
        <v>5601</v>
      </c>
      <c r="C30" s="17">
        <v>6525</v>
      </c>
      <c r="D30" s="18">
        <v>0.57870797524970707</v>
      </c>
      <c r="E30" s="18">
        <v>0.45864048340909708</v>
      </c>
      <c r="F30" s="10">
        <v>0.5186742293294021</v>
      </c>
      <c r="G30" s="19">
        <v>130806.5</v>
      </c>
      <c r="H30" s="19">
        <v>11424</v>
      </c>
      <c r="I30" s="7">
        <v>0.54369090781196627</v>
      </c>
      <c r="J30" s="13">
        <v>0.52386704931961536</v>
      </c>
      <c r="K30" s="18">
        <v>40.336826408383523</v>
      </c>
      <c r="L30" s="18">
        <v>2.5071666492297879</v>
      </c>
      <c r="M30" s="18">
        <v>0.48283719571025713</v>
      </c>
    </row>
    <row r="31" spans="1:13" ht="18" customHeight="1" x14ac:dyDescent="0.2">
      <c r="A31" s="20">
        <v>8</v>
      </c>
      <c r="B31" s="2">
        <v>6526</v>
      </c>
      <c r="C31" s="2">
        <v>7450</v>
      </c>
      <c r="D31" s="3">
        <v>0.49077049184433141</v>
      </c>
      <c r="E31" s="3">
        <v>0.50728418925007046</v>
      </c>
      <c r="F31" s="10">
        <v>0.49902734054720088</v>
      </c>
      <c r="G31" s="21">
        <v>130878.5</v>
      </c>
      <c r="H31" s="21">
        <v>11586</v>
      </c>
      <c r="I31" s="7">
        <v>0.53829081277016888</v>
      </c>
      <c r="J31" s="13">
        <v>0.51706820039751522</v>
      </c>
      <c r="K31" s="3">
        <v>37.005808657594827</v>
      </c>
      <c r="L31" s="3">
        <v>2.5087920296965138</v>
      </c>
      <c r="M31" s="3">
        <v>0.48488922894803888</v>
      </c>
    </row>
    <row r="32" spans="1:13" ht="18" customHeight="1" x14ac:dyDescent="0.2">
      <c r="A32" s="16">
        <v>9</v>
      </c>
      <c r="B32" s="17">
        <v>7451</v>
      </c>
      <c r="C32" s="17">
        <v>8375</v>
      </c>
      <c r="D32" s="18">
        <v>0.49551294870189783</v>
      </c>
      <c r="E32" s="18">
        <v>0.49634225677988569</v>
      </c>
      <c r="F32" s="10">
        <v>0.49592760274089182</v>
      </c>
      <c r="G32" s="19">
        <v>130746</v>
      </c>
      <c r="H32" s="19">
        <v>11522</v>
      </c>
      <c r="I32" s="7">
        <v>0.48114910842544772</v>
      </c>
      <c r="J32" s="13">
        <v>0.51628963245487258</v>
      </c>
      <c r="K32" s="18">
        <v>36.552087874375488</v>
      </c>
      <c r="L32" s="18">
        <v>2.5052008599693392</v>
      </c>
      <c r="M32" s="18">
        <v>0.47527859923462462</v>
      </c>
    </row>
    <row r="33" spans="1:13" ht="18" customHeight="1" x14ac:dyDescent="0.2">
      <c r="A33" s="20">
        <v>10</v>
      </c>
      <c r="B33" s="2">
        <v>8376</v>
      </c>
      <c r="C33" s="2">
        <v>9300</v>
      </c>
      <c r="D33" s="3">
        <v>0.51397821533313581</v>
      </c>
      <c r="E33" s="3">
        <v>0.46246225953327069</v>
      </c>
      <c r="F33" s="10">
        <v>0.48822023743320331</v>
      </c>
      <c r="G33" s="21">
        <v>130301</v>
      </c>
      <c r="H33" s="21">
        <v>11566</v>
      </c>
      <c r="I33" s="7">
        <v>0.54006294956327139</v>
      </c>
      <c r="J33" s="13">
        <v>0.54509545746573917</v>
      </c>
      <c r="K33" s="3">
        <v>34.996999704962548</v>
      </c>
      <c r="L33" s="3">
        <v>2.5191428669901219</v>
      </c>
      <c r="M33" s="3">
        <v>0.49391801758406861</v>
      </c>
    </row>
    <row r="34" spans="1:13" ht="18" customHeight="1" x14ac:dyDescent="0.2">
      <c r="A34" s="16">
        <v>11</v>
      </c>
      <c r="B34" s="17">
        <v>9301</v>
      </c>
      <c r="C34" s="17">
        <v>10225</v>
      </c>
      <c r="D34" s="18">
        <v>0.47481033630762581</v>
      </c>
      <c r="E34" s="18">
        <v>0.47481936131850488</v>
      </c>
      <c r="F34" s="10">
        <v>0.47481484881306529</v>
      </c>
      <c r="G34" s="19">
        <v>130523.5</v>
      </c>
      <c r="H34" s="19">
        <v>11481.5</v>
      </c>
      <c r="I34" s="7">
        <v>0.49933936634654091</v>
      </c>
      <c r="J34" s="13">
        <v>0.50650204493399753</v>
      </c>
      <c r="K34" s="18">
        <v>32.773009744961527</v>
      </c>
      <c r="L34" s="18">
        <v>2.517636688694648</v>
      </c>
      <c r="M34" s="18">
        <v>0.47543772555996139</v>
      </c>
    </row>
    <row r="35" spans="1:13" ht="18" customHeight="1" x14ac:dyDescent="0.2">
      <c r="A35" s="20">
        <v>12</v>
      </c>
      <c r="B35" s="2">
        <v>10226</v>
      </c>
      <c r="C35" s="2">
        <v>11150</v>
      </c>
      <c r="D35" s="3">
        <v>0.48135663433636178</v>
      </c>
      <c r="E35" s="3">
        <v>0.5523480042897887</v>
      </c>
      <c r="F35" s="10">
        <v>0.51685231931307529</v>
      </c>
      <c r="G35" s="21">
        <v>130996.5</v>
      </c>
      <c r="H35" s="21">
        <v>11565</v>
      </c>
      <c r="I35" s="7">
        <v>0.49063620512048622</v>
      </c>
      <c r="J35" s="13">
        <v>0.52417601953344795</v>
      </c>
      <c r="K35" s="3">
        <v>40.160591014829549</v>
      </c>
      <c r="L35" s="3">
        <v>2.5002106408803799</v>
      </c>
      <c r="M35" s="3">
        <v>0.48187476265419388</v>
      </c>
    </row>
    <row r="36" spans="1:13" ht="18" customHeight="1" x14ac:dyDescent="0.2">
      <c r="A36" s="5" t="s">
        <v>52</v>
      </c>
      <c r="B36" s="22"/>
      <c r="C36" s="22"/>
      <c r="D36" s="23">
        <v>0.51060243618709267</v>
      </c>
      <c r="E36" s="23">
        <v>0.50946149597680279</v>
      </c>
      <c r="F36" s="23">
        <v>0.51003196608194779</v>
      </c>
      <c r="G36" s="24">
        <v>130755.2916666667</v>
      </c>
      <c r="H36" s="24">
        <v>11530.125</v>
      </c>
      <c r="I36" s="23">
        <v>0.530842810268643</v>
      </c>
      <c r="J36" s="25">
        <v>0.53063457005635717</v>
      </c>
      <c r="K36" s="23">
        <v>38.839011059644598</v>
      </c>
      <c r="L36" s="23">
        <v>2.5096263879708549</v>
      </c>
      <c r="M36" s="23">
        <v>0.48024656285542089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tabSelected="1" topLeftCell="C1" zoomScale="107" workbookViewId="0">
      <pane ySplit="23" topLeftCell="A24" activePane="bottomLeft" state="frozen"/>
      <selection pane="bottomLeft" activeCell="J19" sqref="J19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40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200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2400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2450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28345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2500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60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61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0.38925596889265152</v>
      </c>
      <c r="C16" s="6">
        <v>2.6987650054938482E-4</v>
      </c>
      <c r="D16" s="3">
        <v>1.642791832672006E-2</v>
      </c>
      <c r="E16" s="7">
        <v>9.2949698067938697E-3</v>
      </c>
      <c r="F16" s="8">
        <v>0.37996099908585762</v>
      </c>
      <c r="G16" s="8">
        <v>0.39855093869944541</v>
      </c>
      <c r="H16" s="4" t="s">
        <v>33</v>
      </c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0.39929797562798819</v>
      </c>
      <c r="C17" s="6">
        <v>1.8160370915430851E-4</v>
      </c>
      <c r="D17" s="3">
        <v>1.3476042043356369E-2</v>
      </c>
      <c r="E17" s="7">
        <v>7.6247885713156627E-3</v>
      </c>
      <c r="F17" s="8">
        <v>0.39167318705667259</v>
      </c>
      <c r="G17" s="8">
        <v>0.4069227641993039</v>
      </c>
      <c r="H17" s="11">
        <v>0.32708587526287131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0.4014709867854076</v>
      </c>
      <c r="C18" s="6">
        <v>1.4921533506856609E-4</v>
      </c>
      <c r="D18" s="3">
        <v>1.221537289928417E-2</v>
      </c>
      <c r="E18" s="7">
        <v>6.911497855020308E-3</v>
      </c>
      <c r="F18" s="8">
        <v>0.39455948893038728</v>
      </c>
      <c r="G18" s="8">
        <v>0.40838248464042792</v>
      </c>
      <c r="H18" s="12">
        <v>0.44709771037933999</v>
      </c>
      <c r="I18" s="37" t="s">
        <v>75</v>
      </c>
      <c r="J18" s="39">
        <f>AVERAGE(E8,'S1-14-R1'!E8:G8,'S3-16-R3'!E8:G8,'S1-16-R2'!E8:G8,'S3-12-R1'!E8:G8,'S1-10-R2'!E8:G8,'S3-14-R2'!E8:G8,'S2-10-R3'!E8:G8)</f>
        <v>3980</v>
      </c>
      <c r="K18" s="9"/>
      <c r="L18" s="9"/>
      <c r="M18" s="9"/>
    </row>
    <row r="19" spans="1:13" ht="18" customHeight="1" x14ac:dyDescent="0.2">
      <c r="A19" s="1" t="s">
        <v>36</v>
      </c>
      <c r="B19" s="13">
        <v>0.40813358783484088</v>
      </c>
      <c r="C19" s="6">
        <v>1.419262266154533E-4</v>
      </c>
      <c r="D19" s="3">
        <v>1.191327942320893E-2</v>
      </c>
      <c r="E19" s="7">
        <v>6.7405723802824872E-3</v>
      </c>
      <c r="F19" s="8">
        <v>0.40139301545455841</v>
      </c>
      <c r="G19" s="8">
        <v>0.41487416021512341</v>
      </c>
      <c r="H19" s="14">
        <v>0.47410676243935462</v>
      </c>
      <c r="I19" s="37" t="s">
        <v>74</v>
      </c>
      <c r="J19" s="38">
        <f>AVERAGE(C19,'S1-14-R1'!C19,'S3-16-R3'!C19,'S1-16-R2'!C19,'S3-12-R1'!C19,'S1-10-R2'!C19,'S3-14-R2'!C19,'S2-10-R3'!C19)</f>
        <v>2.6246948248553057E-4</v>
      </c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250</v>
      </c>
      <c r="D24" s="18">
        <v>0.37896716090199489</v>
      </c>
      <c r="E24" s="18">
        <v>0.4664417268195214</v>
      </c>
      <c r="F24" s="10">
        <v>0.42270444386075812</v>
      </c>
      <c r="G24" s="19">
        <v>28293.5</v>
      </c>
      <c r="H24" s="19">
        <v>2482.5</v>
      </c>
      <c r="I24" s="7">
        <v>0.40512566159494412</v>
      </c>
      <c r="J24" s="13">
        <v>0.43039870036088401</v>
      </c>
      <c r="K24" s="18">
        <v>25.62827344102266</v>
      </c>
      <c r="L24" s="18">
        <v>2.431396774692038</v>
      </c>
      <c r="M24" s="18">
        <v>1.059591583250838</v>
      </c>
    </row>
    <row r="25" spans="1:13" ht="18" customHeight="1" x14ac:dyDescent="0.2">
      <c r="A25" s="20">
        <v>2</v>
      </c>
      <c r="B25" s="2">
        <v>251</v>
      </c>
      <c r="C25" s="2">
        <v>450</v>
      </c>
      <c r="D25" s="3">
        <v>0.35829367124915051</v>
      </c>
      <c r="E25" s="3">
        <v>0.42024302182555801</v>
      </c>
      <c r="F25" s="10">
        <v>0.38926834653735432</v>
      </c>
      <c r="G25" s="21">
        <v>28223</v>
      </c>
      <c r="H25" s="21">
        <v>2455.5</v>
      </c>
      <c r="I25" s="7">
        <v>0.38498957849361881</v>
      </c>
      <c r="J25" s="13">
        <v>0.40809801795930878</v>
      </c>
      <c r="K25" s="3">
        <v>20.83041197637198</v>
      </c>
      <c r="L25" s="3">
        <v>2.3875001915305472</v>
      </c>
      <c r="M25" s="3">
        <v>1.067758166632427</v>
      </c>
    </row>
    <row r="26" spans="1:13" ht="18" customHeight="1" x14ac:dyDescent="0.2">
      <c r="A26" s="16">
        <v>3</v>
      </c>
      <c r="B26" s="17">
        <v>451</v>
      </c>
      <c r="C26" s="17">
        <v>650</v>
      </c>
      <c r="D26" s="18">
        <v>0.39098738014219719</v>
      </c>
      <c r="E26" s="18">
        <v>0.39515607212406723</v>
      </c>
      <c r="F26" s="10">
        <v>0.39307172613313218</v>
      </c>
      <c r="G26" s="19">
        <v>28307.5</v>
      </c>
      <c r="H26" s="19">
        <v>2514</v>
      </c>
      <c r="I26" s="7">
        <v>0.39134618270781357</v>
      </c>
      <c r="J26" s="13">
        <v>0.39338059803688508</v>
      </c>
      <c r="K26" s="18">
        <v>21.372179380177158</v>
      </c>
      <c r="L26" s="18">
        <v>2.3927073541172712</v>
      </c>
      <c r="M26" s="18">
        <v>1.0646268230756091</v>
      </c>
    </row>
    <row r="27" spans="1:13" ht="18" customHeight="1" x14ac:dyDescent="0.2">
      <c r="A27" s="20">
        <v>4</v>
      </c>
      <c r="B27" s="2">
        <v>651</v>
      </c>
      <c r="C27" s="2">
        <v>850</v>
      </c>
      <c r="D27" s="3">
        <v>0.4009441899239331</v>
      </c>
      <c r="E27" s="3">
        <v>0.44904766911194571</v>
      </c>
      <c r="F27" s="10">
        <v>0.42499592951793941</v>
      </c>
      <c r="G27" s="21">
        <v>28208.5</v>
      </c>
      <c r="H27" s="21">
        <v>2530</v>
      </c>
      <c r="I27" s="7">
        <v>0.41290606921889289</v>
      </c>
      <c r="J27" s="13">
        <v>0.43026927165661188</v>
      </c>
      <c r="K27" s="3">
        <v>25.593730281485211</v>
      </c>
      <c r="L27" s="3">
        <v>2.4538706720104608</v>
      </c>
      <c r="M27" s="3">
        <v>1.0929524624996589</v>
      </c>
    </row>
    <row r="28" spans="1:13" ht="18" customHeight="1" x14ac:dyDescent="0.2">
      <c r="A28" s="16">
        <v>5</v>
      </c>
      <c r="B28" s="17">
        <v>851</v>
      </c>
      <c r="C28" s="17">
        <v>1050</v>
      </c>
      <c r="D28" s="18">
        <v>0.3770001221938149</v>
      </c>
      <c r="E28" s="18">
        <v>0.38123767614395387</v>
      </c>
      <c r="F28" s="10">
        <v>0.37911889916888442</v>
      </c>
      <c r="G28" s="19">
        <v>28147.5</v>
      </c>
      <c r="H28" s="19">
        <v>2461</v>
      </c>
      <c r="I28" s="7">
        <v>0.39890123114735171</v>
      </c>
      <c r="J28" s="13">
        <v>0.40306127611783382</v>
      </c>
      <c r="K28" s="18">
        <v>18.744847890511281</v>
      </c>
      <c r="L28" s="18">
        <v>2.4078818126711421</v>
      </c>
      <c r="M28" s="18">
        <v>1.0831457191298151</v>
      </c>
    </row>
    <row r="29" spans="1:13" ht="18" customHeight="1" x14ac:dyDescent="0.2">
      <c r="A29" s="20">
        <v>6</v>
      </c>
      <c r="B29" s="2">
        <v>1051</v>
      </c>
      <c r="C29" s="2">
        <v>1250</v>
      </c>
      <c r="D29" s="3">
        <v>0.40195056390803929</v>
      </c>
      <c r="E29" s="3">
        <v>0.3929378202865354</v>
      </c>
      <c r="F29" s="10">
        <v>0.39744419209728732</v>
      </c>
      <c r="G29" s="21">
        <v>28194.5</v>
      </c>
      <c r="H29" s="21">
        <v>2518.5</v>
      </c>
      <c r="I29" s="7">
        <v>0.41201617173276273</v>
      </c>
      <c r="J29" s="13">
        <v>0.40614390317487847</v>
      </c>
      <c r="K29" s="3">
        <v>20.603614559556281</v>
      </c>
      <c r="L29" s="3">
        <v>2.4732326631850712</v>
      </c>
      <c r="M29" s="3">
        <v>1.102646930145653</v>
      </c>
    </row>
    <row r="30" spans="1:13" ht="18" customHeight="1" x14ac:dyDescent="0.2">
      <c r="A30" s="16">
        <v>7</v>
      </c>
      <c r="B30" s="17">
        <v>1251</v>
      </c>
      <c r="C30" s="17">
        <v>1450</v>
      </c>
      <c r="D30" s="18">
        <v>0.41443736768830158</v>
      </c>
      <c r="E30" s="18">
        <v>0.37241633908662181</v>
      </c>
      <c r="F30" s="10">
        <v>0.39342685338746169</v>
      </c>
      <c r="G30" s="19">
        <v>28159.5</v>
      </c>
      <c r="H30" s="19">
        <v>2489.5</v>
      </c>
      <c r="I30" s="7">
        <v>0.41712619422031177</v>
      </c>
      <c r="J30" s="13">
        <v>0.41074197450806788</v>
      </c>
      <c r="K30" s="18">
        <v>20.00770867319795</v>
      </c>
      <c r="L30" s="18">
        <v>2.4690001444229792</v>
      </c>
      <c r="M30" s="18">
        <v>1.093624932702175</v>
      </c>
    </row>
    <row r="31" spans="1:13" ht="18" customHeight="1" x14ac:dyDescent="0.2">
      <c r="A31" s="20">
        <v>8</v>
      </c>
      <c r="B31" s="2">
        <v>1451</v>
      </c>
      <c r="C31" s="2">
        <v>1650</v>
      </c>
      <c r="D31" s="3">
        <v>0.41431074204598389</v>
      </c>
      <c r="E31" s="3">
        <v>0.39828413641250771</v>
      </c>
      <c r="F31" s="10">
        <v>0.40629743922924583</v>
      </c>
      <c r="G31" s="21">
        <v>28256.5</v>
      </c>
      <c r="H31" s="21">
        <v>2537.5</v>
      </c>
      <c r="I31" s="7">
        <v>0.41873976099250898</v>
      </c>
      <c r="J31" s="13">
        <v>0.40614351643049018</v>
      </c>
      <c r="K31" s="3">
        <v>22.12691387388918</v>
      </c>
      <c r="L31" s="3">
        <v>2.471306566962006</v>
      </c>
      <c r="M31" s="3">
        <v>1.1496877268617649</v>
      </c>
    </row>
    <row r="32" spans="1:13" ht="18" customHeight="1" x14ac:dyDescent="0.2">
      <c r="A32" s="16">
        <v>9</v>
      </c>
      <c r="B32" s="17">
        <v>1651</v>
      </c>
      <c r="C32" s="17">
        <v>1850</v>
      </c>
      <c r="D32" s="18">
        <v>0.38352237057512822</v>
      </c>
      <c r="E32" s="18">
        <v>0.40944336296426798</v>
      </c>
      <c r="F32" s="10">
        <v>0.39648286676969807</v>
      </c>
      <c r="G32" s="19">
        <v>28302.5</v>
      </c>
      <c r="H32" s="19">
        <v>2533.5</v>
      </c>
      <c r="I32" s="7">
        <v>0.38261838738229709</v>
      </c>
      <c r="J32" s="13">
        <v>0.39334238945596239</v>
      </c>
      <c r="K32" s="18">
        <v>21.758314842750352</v>
      </c>
      <c r="L32" s="18">
        <v>2.4027217914942289</v>
      </c>
      <c r="M32" s="18">
        <v>1.0623314489604561</v>
      </c>
    </row>
    <row r="33" spans="1:13" ht="18" customHeight="1" x14ac:dyDescent="0.2">
      <c r="A33" s="20">
        <v>10</v>
      </c>
      <c r="B33" s="2">
        <v>1851</v>
      </c>
      <c r="C33" s="2">
        <v>2050</v>
      </c>
      <c r="D33" s="3">
        <v>0.38028851284621068</v>
      </c>
      <c r="E33" s="3">
        <v>0.39462210136360659</v>
      </c>
      <c r="F33" s="10">
        <v>0.38745530710490861</v>
      </c>
      <c r="G33" s="21">
        <v>28242</v>
      </c>
      <c r="H33" s="21">
        <v>2481</v>
      </c>
      <c r="I33" s="7">
        <v>0.3920612235404034</v>
      </c>
      <c r="J33" s="13">
        <v>0.39967660757919687</v>
      </c>
      <c r="K33" s="3">
        <v>20.594988607363511</v>
      </c>
      <c r="L33" s="3">
        <v>2.383794802835419</v>
      </c>
      <c r="M33" s="3">
        <v>1.0518168352689199</v>
      </c>
    </row>
    <row r="34" spans="1:13" ht="18" customHeight="1" x14ac:dyDescent="0.2">
      <c r="A34" s="16">
        <v>11</v>
      </c>
      <c r="B34" s="17">
        <v>2051</v>
      </c>
      <c r="C34" s="17">
        <v>2250</v>
      </c>
      <c r="D34" s="18">
        <v>0.38992101824253472</v>
      </c>
      <c r="E34" s="18">
        <v>0.40853088916651742</v>
      </c>
      <c r="F34" s="10">
        <v>0.39922595370452613</v>
      </c>
      <c r="G34" s="19">
        <v>28196.5</v>
      </c>
      <c r="H34" s="19">
        <v>2535</v>
      </c>
      <c r="I34" s="7">
        <v>0.40386109571706219</v>
      </c>
      <c r="J34" s="13">
        <v>0.40449520044530562</v>
      </c>
      <c r="K34" s="18">
        <v>21.336390162989581</v>
      </c>
      <c r="L34" s="18">
        <v>2.4500126817520078</v>
      </c>
      <c r="M34" s="18">
        <v>1.107520641249002</v>
      </c>
    </row>
    <row r="35" spans="1:13" ht="18" customHeight="1" x14ac:dyDescent="0.2">
      <c r="A35" s="20">
        <v>12</v>
      </c>
      <c r="B35" s="2">
        <v>2251</v>
      </c>
      <c r="C35" s="2">
        <v>2450</v>
      </c>
      <c r="D35" s="3">
        <v>0.38044852699452941</v>
      </c>
      <c r="E35" s="3">
        <v>0.42371897305479711</v>
      </c>
      <c r="F35" s="10">
        <v>0.40208375002466318</v>
      </c>
      <c r="G35" s="21">
        <v>28255</v>
      </c>
      <c r="H35" s="21">
        <v>2488</v>
      </c>
      <c r="I35" s="7">
        <v>0.39796028467692413</v>
      </c>
      <c r="J35" s="13">
        <v>0.41185159829266599</v>
      </c>
      <c r="K35" s="3">
        <v>21.967637069767111</v>
      </c>
      <c r="L35" s="3">
        <v>2.4419160500558741</v>
      </c>
      <c r="M35" s="3">
        <v>1.088006263371722</v>
      </c>
    </row>
    <row r="36" spans="1:13" ht="18" customHeight="1" x14ac:dyDescent="0.2">
      <c r="A36" s="5" t="s">
        <v>52</v>
      </c>
      <c r="B36" s="22"/>
      <c r="C36" s="22"/>
      <c r="D36" s="23">
        <v>0.38925596889265152</v>
      </c>
      <c r="E36" s="23">
        <v>0.40933998236332497</v>
      </c>
      <c r="F36" s="23">
        <v>0.39929797562798819</v>
      </c>
      <c r="G36" s="24">
        <v>28232.208333333328</v>
      </c>
      <c r="H36" s="24">
        <v>2502.166666666667</v>
      </c>
      <c r="I36" s="23">
        <v>0.4014709867854076</v>
      </c>
      <c r="J36" s="25">
        <v>0.40813358783484088</v>
      </c>
      <c r="K36" s="23">
        <v>21.713750896590192</v>
      </c>
      <c r="L36" s="23">
        <v>2.4304451254774211</v>
      </c>
      <c r="M36" s="23">
        <v>1.085309127762337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"/>
  <sheetViews>
    <sheetView workbookViewId="0">
      <pane ySplit="23" topLeftCell="A24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20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100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1200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1250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14172.5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1250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63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64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0.38966750697227892</v>
      </c>
      <c r="C16" s="6">
        <v>3.4483962622160132E-4</v>
      </c>
      <c r="D16" s="3">
        <v>1.856985800219273E-2</v>
      </c>
      <c r="E16" s="7">
        <v>1.0506886266051511E-2</v>
      </c>
      <c r="F16" s="8">
        <v>0.37916062070622741</v>
      </c>
      <c r="G16" s="8">
        <v>0.40017439323833037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0.39697788422003039</v>
      </c>
      <c r="C17" s="6">
        <v>1.053842148221014E-4</v>
      </c>
      <c r="D17" s="3">
        <v>1.0265681410510531E-2</v>
      </c>
      <c r="E17" s="7">
        <v>5.8083560472577261E-3</v>
      </c>
      <c r="F17" s="8">
        <v>0.39116952817277267</v>
      </c>
      <c r="G17" s="8">
        <v>0.40278624026728821</v>
      </c>
      <c r="H17" s="11">
        <v>0.69439644748257767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0.40120950028666852</v>
      </c>
      <c r="C18" s="6">
        <v>9.4149861351567257E-5</v>
      </c>
      <c r="D18" s="3">
        <v>9.7030851460536641E-3</v>
      </c>
      <c r="E18" s="7">
        <v>5.4900372446230637E-3</v>
      </c>
      <c r="F18" s="8">
        <v>0.39571946304204542</v>
      </c>
      <c r="G18" s="8">
        <v>0.40669953753129151</v>
      </c>
      <c r="H18" s="12">
        <v>0.72697493503526611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0.40395667421910192</v>
      </c>
      <c r="C19" s="6">
        <v>5.8668535114095282E-5</v>
      </c>
      <c r="D19" s="3">
        <v>7.6595388316853174E-3</v>
      </c>
      <c r="E19" s="7">
        <v>4.333792070215072E-3</v>
      </c>
      <c r="F19" s="8">
        <v>0.3996228821488868</v>
      </c>
      <c r="G19" s="8">
        <v>0.40829046628931692</v>
      </c>
      <c r="H19" s="14">
        <v>0.82986718853362396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150</v>
      </c>
      <c r="D24" s="18">
        <v>0.3736832284415349</v>
      </c>
      <c r="E24" s="18">
        <v>0.44258679638841858</v>
      </c>
      <c r="F24" s="10">
        <v>0.40813501241497668</v>
      </c>
      <c r="G24" s="19">
        <v>14176</v>
      </c>
      <c r="H24" s="19">
        <v>1233.5</v>
      </c>
      <c r="I24" s="7">
        <v>0.39540731933931211</v>
      </c>
      <c r="J24" s="13">
        <v>0.41268848350788528</v>
      </c>
      <c r="K24" s="18">
        <v>18.549230370494321</v>
      </c>
      <c r="L24" s="18">
        <v>2.679506341886881</v>
      </c>
      <c r="M24" s="18">
        <v>0.86622968974244263</v>
      </c>
    </row>
    <row r="25" spans="1:13" ht="18" customHeight="1" x14ac:dyDescent="0.2">
      <c r="A25" s="20">
        <v>2</v>
      </c>
      <c r="B25" s="2">
        <v>151</v>
      </c>
      <c r="C25" s="2">
        <v>250</v>
      </c>
      <c r="D25" s="3">
        <v>0.3859576860234567</v>
      </c>
      <c r="E25" s="3">
        <v>0.41591381184101539</v>
      </c>
      <c r="F25" s="10">
        <v>0.40093574893223599</v>
      </c>
      <c r="G25" s="21">
        <v>14119.5</v>
      </c>
      <c r="H25" s="21">
        <v>1249</v>
      </c>
      <c r="I25" s="7">
        <v>0.40627312684480199</v>
      </c>
      <c r="J25" s="13">
        <v>0.40674906265822902</v>
      </c>
      <c r="K25" s="3">
        <v>17.791745304225891</v>
      </c>
      <c r="L25" s="3">
        <v>2.6552925276637378</v>
      </c>
      <c r="M25" s="3">
        <v>0.83680576536172468</v>
      </c>
    </row>
    <row r="26" spans="1:13" ht="18" customHeight="1" x14ac:dyDescent="0.2">
      <c r="A26" s="16">
        <v>3</v>
      </c>
      <c r="B26" s="17">
        <v>251</v>
      </c>
      <c r="C26" s="17">
        <v>350</v>
      </c>
      <c r="D26" s="18">
        <v>0.35823919272118993</v>
      </c>
      <c r="E26" s="18">
        <v>0.41696074087492752</v>
      </c>
      <c r="F26" s="10">
        <v>0.38759996679805858</v>
      </c>
      <c r="G26" s="19">
        <v>14148</v>
      </c>
      <c r="H26" s="19">
        <v>1250.5</v>
      </c>
      <c r="I26" s="7">
        <v>0.3838823682337964</v>
      </c>
      <c r="J26" s="13">
        <v>0.39000045853948673</v>
      </c>
      <c r="K26" s="18">
        <v>15.566505558524881</v>
      </c>
      <c r="L26" s="18">
        <v>2.6544797605472672</v>
      </c>
      <c r="M26" s="18">
        <v>0.89551873374611513</v>
      </c>
    </row>
    <row r="27" spans="1:13" ht="18" customHeight="1" x14ac:dyDescent="0.2">
      <c r="A27" s="20">
        <v>4</v>
      </c>
      <c r="B27" s="2">
        <v>351</v>
      </c>
      <c r="C27" s="2">
        <v>450</v>
      </c>
      <c r="D27" s="3">
        <v>0.3850495691924502</v>
      </c>
      <c r="E27" s="3">
        <v>0.40088361563925851</v>
      </c>
      <c r="F27" s="10">
        <v>0.3929665924158543</v>
      </c>
      <c r="G27" s="21">
        <v>14072.5</v>
      </c>
      <c r="H27" s="21">
        <v>1205</v>
      </c>
      <c r="I27" s="7">
        <v>0.41637122142575278</v>
      </c>
      <c r="J27" s="13">
        <v>0.41678464025985013</v>
      </c>
      <c r="K27" s="3">
        <v>16.980337956997651</v>
      </c>
      <c r="L27" s="3">
        <v>2.627038369760673</v>
      </c>
      <c r="M27" s="3">
        <v>0.84946869716522411</v>
      </c>
    </row>
    <row r="28" spans="1:13" ht="18" customHeight="1" x14ac:dyDescent="0.2">
      <c r="A28" s="16">
        <v>5</v>
      </c>
      <c r="B28" s="17">
        <v>451</v>
      </c>
      <c r="C28" s="17">
        <v>550</v>
      </c>
      <c r="D28" s="18">
        <v>0.42474588000328362</v>
      </c>
      <c r="E28" s="18">
        <v>0.40037274873266437</v>
      </c>
      <c r="F28" s="10">
        <v>0.41255931436797399</v>
      </c>
      <c r="G28" s="19">
        <v>14166</v>
      </c>
      <c r="H28" s="19">
        <v>1283.5</v>
      </c>
      <c r="I28" s="7">
        <v>0.4067508921945352</v>
      </c>
      <c r="J28" s="13">
        <v>0.40325132049004347</v>
      </c>
      <c r="K28" s="18">
        <v>18.494814783614089</v>
      </c>
      <c r="L28" s="18">
        <v>2.722240180189583</v>
      </c>
      <c r="M28" s="18">
        <v>0.88005302168702793</v>
      </c>
    </row>
    <row r="29" spans="1:13" ht="18" customHeight="1" x14ac:dyDescent="0.2">
      <c r="A29" s="20">
        <v>6</v>
      </c>
      <c r="B29" s="2">
        <v>551</v>
      </c>
      <c r="C29" s="2">
        <v>650</v>
      </c>
      <c r="D29" s="3">
        <v>0.3705932756394707</v>
      </c>
      <c r="E29" s="3">
        <v>0.39768395131277479</v>
      </c>
      <c r="F29" s="10">
        <v>0.38413861347612283</v>
      </c>
      <c r="G29" s="21">
        <v>14148</v>
      </c>
      <c r="H29" s="21">
        <v>1230.5</v>
      </c>
      <c r="I29" s="7">
        <v>0.39057934909905617</v>
      </c>
      <c r="J29" s="13">
        <v>0.39249993815525308</v>
      </c>
      <c r="K29" s="3">
        <v>14.81410032916769</v>
      </c>
      <c r="L29" s="3">
        <v>2.6636350036511209</v>
      </c>
      <c r="M29" s="3">
        <v>0.86473978438052845</v>
      </c>
    </row>
    <row r="30" spans="1:13" ht="18" customHeight="1" x14ac:dyDescent="0.2">
      <c r="A30" s="16">
        <v>7</v>
      </c>
      <c r="B30" s="17">
        <v>651</v>
      </c>
      <c r="C30" s="17">
        <v>750</v>
      </c>
      <c r="D30" s="18">
        <v>0.39639843788563411</v>
      </c>
      <c r="E30" s="18">
        <v>0.42077356441049701</v>
      </c>
      <c r="F30" s="10">
        <v>0.40858600114806548</v>
      </c>
      <c r="G30" s="19">
        <v>14146</v>
      </c>
      <c r="H30" s="19">
        <v>1275</v>
      </c>
      <c r="I30" s="7">
        <v>0.39039239746634408</v>
      </c>
      <c r="J30" s="13">
        <v>0.40389259601549171</v>
      </c>
      <c r="K30" s="18">
        <v>18.816032881085039</v>
      </c>
      <c r="L30" s="18">
        <v>2.6692722488458922</v>
      </c>
      <c r="M30" s="18">
        <v>0.85908030192396834</v>
      </c>
    </row>
    <row r="31" spans="1:13" ht="18" customHeight="1" x14ac:dyDescent="0.2">
      <c r="A31" s="20">
        <v>8</v>
      </c>
      <c r="B31" s="2">
        <v>751</v>
      </c>
      <c r="C31" s="2">
        <v>850</v>
      </c>
      <c r="D31" s="3">
        <v>0.40562600073996902</v>
      </c>
      <c r="E31" s="3">
        <v>0.3961461719176062</v>
      </c>
      <c r="F31" s="10">
        <v>0.40088608632878758</v>
      </c>
      <c r="G31" s="21">
        <v>14055</v>
      </c>
      <c r="H31" s="21">
        <v>1255</v>
      </c>
      <c r="I31" s="7">
        <v>0.40822982518527717</v>
      </c>
      <c r="J31" s="13">
        <v>0.41162313223200681</v>
      </c>
      <c r="K31" s="3">
        <v>16.617201698422019</v>
      </c>
      <c r="L31" s="3">
        <v>2.7177675431150519</v>
      </c>
      <c r="M31" s="3">
        <v>0.8981761540154467</v>
      </c>
    </row>
    <row r="32" spans="1:13" ht="18" customHeight="1" x14ac:dyDescent="0.2">
      <c r="A32" s="16">
        <v>9</v>
      </c>
      <c r="B32" s="17">
        <v>851</v>
      </c>
      <c r="C32" s="17">
        <v>950</v>
      </c>
      <c r="D32" s="18">
        <v>0.39015782573091329</v>
      </c>
      <c r="E32" s="18">
        <v>0.38074539417869491</v>
      </c>
      <c r="F32" s="10">
        <v>0.3854516099548041</v>
      </c>
      <c r="G32" s="19">
        <v>14043.5</v>
      </c>
      <c r="H32" s="19">
        <v>1238</v>
      </c>
      <c r="I32" s="7">
        <v>0.40990972539881543</v>
      </c>
      <c r="J32" s="13">
        <v>0.40245207383449932</v>
      </c>
      <c r="K32" s="18">
        <v>14.435471751744689</v>
      </c>
      <c r="L32" s="18">
        <v>2.695735645749771</v>
      </c>
      <c r="M32" s="18">
        <v>0.88184273808367775</v>
      </c>
    </row>
    <row r="33" spans="1:13" ht="18" customHeight="1" x14ac:dyDescent="0.2">
      <c r="A33" s="20">
        <v>10</v>
      </c>
      <c r="B33" s="2">
        <v>951</v>
      </c>
      <c r="C33" s="2">
        <v>1050</v>
      </c>
      <c r="D33" s="3">
        <v>0.38787139291147787</v>
      </c>
      <c r="E33" s="3">
        <v>0.38521141145918669</v>
      </c>
      <c r="F33" s="10">
        <v>0.38654140218533228</v>
      </c>
      <c r="G33" s="21">
        <v>14108.5</v>
      </c>
      <c r="H33" s="21">
        <v>1223</v>
      </c>
      <c r="I33" s="7">
        <v>0.3968922455130095</v>
      </c>
      <c r="J33" s="13">
        <v>0.40124847784109641</v>
      </c>
      <c r="K33" s="3">
        <v>15.155434818360209</v>
      </c>
      <c r="L33" s="3">
        <v>2.6669743258272649</v>
      </c>
      <c r="M33" s="3">
        <v>0.92090622936796773</v>
      </c>
    </row>
    <row r="34" spans="1:13" ht="18" customHeight="1" x14ac:dyDescent="0.2">
      <c r="A34" s="16">
        <v>11</v>
      </c>
      <c r="B34" s="17">
        <v>1051</v>
      </c>
      <c r="C34" s="17">
        <v>1150</v>
      </c>
      <c r="D34" s="18">
        <v>0.41382276775763199</v>
      </c>
      <c r="E34" s="18">
        <v>0.39718874440812368</v>
      </c>
      <c r="F34" s="10">
        <v>0.40550575608287792</v>
      </c>
      <c r="G34" s="19">
        <v>14121.5</v>
      </c>
      <c r="H34" s="19">
        <v>1274</v>
      </c>
      <c r="I34" s="7">
        <v>0.40222271197216569</v>
      </c>
      <c r="J34" s="13">
        <v>0.40365990516205968</v>
      </c>
      <c r="K34" s="18">
        <v>16.698229884026279</v>
      </c>
      <c r="L34" s="18">
        <v>2.7550037752444929</v>
      </c>
      <c r="M34" s="18">
        <v>0.96574513914982374</v>
      </c>
    </row>
    <row r="35" spans="1:13" ht="18" customHeight="1" x14ac:dyDescent="0.2">
      <c r="A35" s="20">
        <v>12</v>
      </c>
      <c r="B35" s="2">
        <v>1151</v>
      </c>
      <c r="C35" s="2">
        <v>1250</v>
      </c>
      <c r="D35" s="3">
        <v>0.3838648266203335</v>
      </c>
      <c r="E35" s="3">
        <v>0.396992186450216</v>
      </c>
      <c r="F35" s="10">
        <v>0.39042850653527472</v>
      </c>
      <c r="G35" s="21">
        <v>14071</v>
      </c>
      <c r="H35" s="21">
        <v>1244.5</v>
      </c>
      <c r="I35" s="7">
        <v>0.40760282076715543</v>
      </c>
      <c r="J35" s="13">
        <v>0.4026300019333211</v>
      </c>
      <c r="K35" s="3">
        <v>14.96917738979759</v>
      </c>
      <c r="L35" s="3">
        <v>2.7119363415068878</v>
      </c>
      <c r="M35" s="3">
        <v>0.87271372594354735</v>
      </c>
    </row>
    <row r="36" spans="1:13" ht="18" customHeight="1" x14ac:dyDescent="0.2">
      <c r="A36" s="5" t="s">
        <v>52</v>
      </c>
      <c r="B36" s="22"/>
      <c r="C36" s="22"/>
      <c r="D36" s="23">
        <v>0.38966750697227892</v>
      </c>
      <c r="E36" s="23">
        <v>0.40428826146778202</v>
      </c>
      <c r="F36" s="23">
        <v>0.39697788422003039</v>
      </c>
      <c r="G36" s="24">
        <v>14114.625</v>
      </c>
      <c r="H36" s="24">
        <v>1246.791666666667</v>
      </c>
      <c r="I36" s="23">
        <v>0.40120950028666852</v>
      </c>
      <c r="J36" s="25">
        <v>0.40395667421910192</v>
      </c>
      <c r="K36" s="23">
        <v>16.574023560538361</v>
      </c>
      <c r="L36" s="23">
        <v>2.684906838665718</v>
      </c>
      <c r="M36" s="23">
        <v>0.88260666504729135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"/>
  <sheetViews>
    <sheetView workbookViewId="0">
      <pane ySplit="23" topLeftCell="A24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6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30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360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410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4251.75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375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66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67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0.44149757134431938</v>
      </c>
      <c r="C16" s="6">
        <v>3.6946373388190061E-4</v>
      </c>
      <c r="D16" s="3">
        <v>1.9221439433140811E-2</v>
      </c>
      <c r="E16" s="7">
        <v>1.087555316631722E-2</v>
      </c>
      <c r="F16" s="8">
        <v>0.43062201817800222</v>
      </c>
      <c r="G16" s="8">
        <v>0.45237312451063671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0.4567566706884032</v>
      </c>
      <c r="C17" s="6">
        <v>3.6303123302101062E-4</v>
      </c>
      <c r="D17" s="3">
        <v>1.9053378519858642E-2</v>
      </c>
      <c r="E17" s="7">
        <v>1.0780463753063969E-2</v>
      </c>
      <c r="F17" s="8">
        <v>0.44597620693533918</v>
      </c>
      <c r="G17" s="8">
        <v>0.46753713444146722</v>
      </c>
      <c r="H17" s="11">
        <v>1.741037149520663E-2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0.44608410632393691</v>
      </c>
      <c r="C18" s="6">
        <v>2.8384383166323019E-4</v>
      </c>
      <c r="D18" s="3">
        <v>1.6847665466266541E-2</v>
      </c>
      <c r="E18" s="7">
        <v>9.532464108322437E-3</v>
      </c>
      <c r="F18" s="8">
        <v>0.43655164221561449</v>
      </c>
      <c r="G18" s="8">
        <v>0.45561657043225928</v>
      </c>
      <c r="H18" s="12">
        <v>0.23174101912270181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0.46198266835039642</v>
      </c>
      <c r="C19" s="6">
        <v>1.8903463898583951E-4</v>
      </c>
      <c r="D19" s="3">
        <v>1.374898683488494E-2</v>
      </c>
      <c r="E19" s="7">
        <v>7.7792216252013354E-3</v>
      </c>
      <c r="F19" s="8">
        <v>0.45420344672519508</v>
      </c>
      <c r="G19" s="8">
        <v>0.46976188997559781</v>
      </c>
      <c r="H19" s="14">
        <v>0.48835400703695442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80</v>
      </c>
      <c r="D24" s="18">
        <v>0.44678196067679837</v>
      </c>
      <c r="E24" s="18">
        <v>0.51960834970841252</v>
      </c>
      <c r="F24" s="10">
        <v>0.48319515519260547</v>
      </c>
      <c r="G24" s="19">
        <v>4281.5</v>
      </c>
      <c r="H24" s="19">
        <v>371.5</v>
      </c>
      <c r="I24" s="7">
        <v>0.44803047575864702</v>
      </c>
      <c r="J24" s="13">
        <v>0.4769416233414932</v>
      </c>
      <c r="K24" s="18">
        <v>19.20455537351555</v>
      </c>
      <c r="L24" s="18">
        <v>3.3199409302951159</v>
      </c>
      <c r="M24" s="18">
        <v>0.83669608135390861</v>
      </c>
    </row>
    <row r="25" spans="1:13" ht="18" customHeight="1" x14ac:dyDescent="0.2">
      <c r="A25" s="20">
        <v>2</v>
      </c>
      <c r="B25" s="2">
        <v>81</v>
      </c>
      <c r="C25" s="2">
        <v>110</v>
      </c>
      <c r="D25" s="3">
        <v>0.45325632029360158</v>
      </c>
      <c r="E25" s="3">
        <v>0.46867987927783189</v>
      </c>
      <c r="F25" s="10">
        <v>0.46096809978571679</v>
      </c>
      <c r="G25" s="21">
        <v>4299.5</v>
      </c>
      <c r="H25" s="21">
        <v>368.5</v>
      </c>
      <c r="I25" s="7">
        <v>0.45928666679360841</v>
      </c>
      <c r="J25" s="13">
        <v>0.45140113269338922</v>
      </c>
      <c r="K25" s="3">
        <v>16.683275930959621</v>
      </c>
      <c r="L25" s="3">
        <v>3.254965973198614</v>
      </c>
      <c r="M25" s="3">
        <v>0.82068248387915133</v>
      </c>
    </row>
    <row r="26" spans="1:13" ht="18" customHeight="1" x14ac:dyDescent="0.2">
      <c r="A26" s="16">
        <v>3</v>
      </c>
      <c r="B26" s="17">
        <v>111</v>
      </c>
      <c r="C26" s="17">
        <v>140</v>
      </c>
      <c r="D26" s="18">
        <v>0.45172166373607148</v>
      </c>
      <c r="E26" s="18">
        <v>0.46807057015870712</v>
      </c>
      <c r="F26" s="10">
        <v>0.4598961169473893</v>
      </c>
      <c r="G26" s="19">
        <v>4237.5</v>
      </c>
      <c r="H26" s="19">
        <v>374</v>
      </c>
      <c r="I26" s="7">
        <v>0.45053976494208431</v>
      </c>
      <c r="J26" s="13">
        <v>0.46431782280922917</v>
      </c>
      <c r="K26" s="18">
        <v>13.35113581047259</v>
      </c>
      <c r="L26" s="18">
        <v>3.4238256341083289</v>
      </c>
      <c r="M26" s="18">
        <v>0.83529380764132766</v>
      </c>
    </row>
    <row r="27" spans="1:13" ht="18" customHeight="1" x14ac:dyDescent="0.2">
      <c r="A27" s="20">
        <v>4</v>
      </c>
      <c r="B27" s="2">
        <v>141</v>
      </c>
      <c r="C27" s="2">
        <v>170</v>
      </c>
      <c r="D27" s="3">
        <v>0.43852485358979421</v>
      </c>
      <c r="E27" s="3">
        <v>0.46562800829911433</v>
      </c>
      <c r="F27" s="10">
        <v>0.45207643094445432</v>
      </c>
      <c r="G27" s="21">
        <v>4176</v>
      </c>
      <c r="H27" s="21">
        <v>367.5</v>
      </c>
      <c r="I27" s="7">
        <v>0.44593783201700837</v>
      </c>
      <c r="J27" s="13">
        <v>0.47674527500319841</v>
      </c>
      <c r="K27" s="3">
        <v>15.154559271799499</v>
      </c>
      <c r="L27" s="3">
        <v>3.2568364889394008</v>
      </c>
      <c r="M27" s="3">
        <v>0.83903079831894845</v>
      </c>
    </row>
    <row r="28" spans="1:13" ht="18" customHeight="1" x14ac:dyDescent="0.2">
      <c r="A28" s="16">
        <v>5</v>
      </c>
      <c r="B28" s="17">
        <v>171</v>
      </c>
      <c r="C28" s="17">
        <v>200</v>
      </c>
      <c r="D28" s="18">
        <v>0.45945092632755918</v>
      </c>
      <c r="E28" s="18">
        <v>0.43707304946683539</v>
      </c>
      <c r="F28" s="10">
        <v>0.44826198789719729</v>
      </c>
      <c r="G28" s="19">
        <v>4274</v>
      </c>
      <c r="H28" s="19">
        <v>359</v>
      </c>
      <c r="I28" s="7">
        <v>0.4670875311577608</v>
      </c>
      <c r="J28" s="13">
        <v>0.45071655996004428</v>
      </c>
      <c r="K28" s="18">
        <v>15.43701323796687</v>
      </c>
      <c r="L28" s="18">
        <v>3.2073750390408362</v>
      </c>
      <c r="M28" s="18">
        <v>0.77036552794731916</v>
      </c>
    </row>
    <row r="29" spans="1:13" ht="18" customHeight="1" x14ac:dyDescent="0.2">
      <c r="A29" s="20">
        <v>6</v>
      </c>
      <c r="B29" s="2">
        <v>201</v>
      </c>
      <c r="C29" s="2">
        <v>230</v>
      </c>
      <c r="D29" s="3">
        <v>0.43663604214926549</v>
      </c>
      <c r="E29" s="3">
        <v>0.491356784270639</v>
      </c>
      <c r="F29" s="10">
        <v>0.46399641320995222</v>
      </c>
      <c r="G29" s="21">
        <v>4221</v>
      </c>
      <c r="H29" s="21">
        <v>398</v>
      </c>
      <c r="I29" s="7">
        <v>0.43289992929366922</v>
      </c>
      <c r="J29" s="13">
        <v>0.46013110741453972</v>
      </c>
      <c r="K29" s="3">
        <v>15.531976740732301</v>
      </c>
      <c r="L29" s="3">
        <v>3.3438975363503398</v>
      </c>
      <c r="M29" s="3">
        <v>0.82171135635637738</v>
      </c>
    </row>
    <row r="30" spans="1:13" ht="18" customHeight="1" x14ac:dyDescent="0.2">
      <c r="A30" s="16">
        <v>7</v>
      </c>
      <c r="B30" s="17">
        <v>231</v>
      </c>
      <c r="C30" s="17">
        <v>260</v>
      </c>
      <c r="D30" s="18">
        <v>0.45987439399893748</v>
      </c>
      <c r="E30" s="18">
        <v>0.47656159537496962</v>
      </c>
      <c r="F30" s="10">
        <v>0.46821799468695358</v>
      </c>
      <c r="G30" s="19">
        <v>4253</v>
      </c>
      <c r="H30" s="19">
        <v>383.5</v>
      </c>
      <c r="I30" s="7">
        <v>0.45059989301930442</v>
      </c>
      <c r="J30" s="13">
        <v>0.46334714128279347</v>
      </c>
      <c r="K30" s="18">
        <v>14.3786087598812</v>
      </c>
      <c r="L30" s="18">
        <v>3.443679340046089</v>
      </c>
      <c r="M30" s="18">
        <v>0.79238736989893188</v>
      </c>
    </row>
    <row r="31" spans="1:13" ht="18" customHeight="1" x14ac:dyDescent="0.2">
      <c r="A31" s="20">
        <v>8</v>
      </c>
      <c r="B31" s="2">
        <v>261</v>
      </c>
      <c r="C31" s="2">
        <v>290</v>
      </c>
      <c r="D31" s="3">
        <v>0.46050153262967908</v>
      </c>
      <c r="E31" s="3">
        <v>0.45917696249142131</v>
      </c>
      <c r="F31" s="10">
        <v>0.45983924756055022</v>
      </c>
      <c r="G31" s="21">
        <v>4238.5</v>
      </c>
      <c r="H31" s="21">
        <v>378.5</v>
      </c>
      <c r="I31" s="7">
        <v>0.47002029333147072</v>
      </c>
      <c r="J31" s="13">
        <v>0.46158996259452439</v>
      </c>
      <c r="K31" s="3">
        <v>12.693447842112301</v>
      </c>
      <c r="L31" s="3">
        <v>3.4585470936460792</v>
      </c>
      <c r="M31" s="3">
        <v>0.85229623330724347</v>
      </c>
    </row>
    <row r="32" spans="1:13" ht="18" customHeight="1" x14ac:dyDescent="0.2">
      <c r="A32" s="16">
        <v>9</v>
      </c>
      <c r="B32" s="17">
        <v>291</v>
      </c>
      <c r="C32" s="17">
        <v>320</v>
      </c>
      <c r="D32" s="18">
        <v>0.39629755603558448</v>
      </c>
      <c r="E32" s="18">
        <v>0.49006756142656988</v>
      </c>
      <c r="F32" s="10">
        <v>0.4431825587310772</v>
      </c>
      <c r="G32" s="19">
        <v>4253</v>
      </c>
      <c r="H32" s="19">
        <v>350</v>
      </c>
      <c r="I32" s="7">
        <v>0.41446228611592828</v>
      </c>
      <c r="J32" s="13">
        <v>0.45616417423908717</v>
      </c>
      <c r="K32" s="18">
        <v>16.38865899783465</v>
      </c>
      <c r="L32" s="18">
        <v>3.1106791536956959</v>
      </c>
      <c r="M32" s="18">
        <v>0.677522276849572</v>
      </c>
    </row>
    <row r="33" spans="1:13" ht="18" customHeight="1" x14ac:dyDescent="0.2">
      <c r="A33" s="20">
        <v>10</v>
      </c>
      <c r="B33" s="2">
        <v>321</v>
      </c>
      <c r="C33" s="2">
        <v>350</v>
      </c>
      <c r="D33" s="3">
        <v>0.42062394999543878</v>
      </c>
      <c r="E33" s="3">
        <v>0.44842003643787642</v>
      </c>
      <c r="F33" s="10">
        <v>0.43452199321665758</v>
      </c>
      <c r="G33" s="21">
        <v>4208.5</v>
      </c>
      <c r="H33" s="21">
        <v>382.5</v>
      </c>
      <c r="I33" s="7">
        <v>0.42397864034555038</v>
      </c>
      <c r="J33" s="13">
        <v>0.44232800983909037</v>
      </c>
      <c r="K33" s="3">
        <v>13.06099819550732</v>
      </c>
      <c r="L33" s="3">
        <v>3.211001607047741</v>
      </c>
      <c r="M33" s="3">
        <v>0.80007976462737651</v>
      </c>
    </row>
    <row r="34" spans="1:13" ht="18" customHeight="1" x14ac:dyDescent="0.2">
      <c r="A34" s="16">
        <v>11</v>
      </c>
      <c r="B34" s="17">
        <v>351</v>
      </c>
      <c r="C34" s="17">
        <v>380</v>
      </c>
      <c r="D34" s="18">
        <v>0.44771457841791112</v>
      </c>
      <c r="E34" s="18">
        <v>0.526723450747561</v>
      </c>
      <c r="F34" s="10">
        <v>0.48721901458273609</v>
      </c>
      <c r="G34" s="19">
        <v>4246.5</v>
      </c>
      <c r="H34" s="19">
        <v>371.5</v>
      </c>
      <c r="I34" s="7">
        <v>0.45569939582424479</v>
      </c>
      <c r="J34" s="13">
        <v>0.49051691234373468</v>
      </c>
      <c r="K34" s="18">
        <v>17.853179203732669</v>
      </c>
      <c r="L34" s="18">
        <v>3.4285508167589471</v>
      </c>
      <c r="M34" s="18">
        <v>0.9046972250687948</v>
      </c>
    </row>
    <row r="35" spans="1:13" ht="18" customHeight="1" x14ac:dyDescent="0.2">
      <c r="A35" s="20">
        <v>12</v>
      </c>
      <c r="B35" s="2">
        <v>381</v>
      </c>
      <c r="C35" s="2">
        <v>410</v>
      </c>
      <c r="D35" s="3">
        <v>0.42658707828119202</v>
      </c>
      <c r="E35" s="3">
        <v>0.41282299272990319</v>
      </c>
      <c r="F35" s="10">
        <v>0.41970503550554761</v>
      </c>
      <c r="G35" s="21">
        <v>4172.5</v>
      </c>
      <c r="H35" s="21">
        <v>359.5</v>
      </c>
      <c r="I35" s="7">
        <v>0.43446656728796562</v>
      </c>
      <c r="J35" s="13">
        <v>0.44959229868363287</v>
      </c>
      <c r="K35" s="3">
        <v>11.76077781048707</v>
      </c>
      <c r="L35" s="3">
        <v>3.147303651130978</v>
      </c>
      <c r="M35" s="3">
        <v>0.76782893390611573</v>
      </c>
    </row>
    <row r="36" spans="1:13" ht="18" customHeight="1" x14ac:dyDescent="0.2">
      <c r="A36" s="5" t="s">
        <v>52</v>
      </c>
      <c r="B36" s="22"/>
      <c r="C36" s="22"/>
      <c r="D36" s="23">
        <v>0.44149757134431938</v>
      </c>
      <c r="E36" s="23">
        <v>0.47201577003248668</v>
      </c>
      <c r="F36" s="23">
        <v>0.4567566706884032</v>
      </c>
      <c r="G36" s="24">
        <v>4238.458333333333</v>
      </c>
      <c r="H36" s="24">
        <v>372</v>
      </c>
      <c r="I36" s="23">
        <v>0.44608410632393691</v>
      </c>
      <c r="J36" s="25">
        <v>0.46198266835039642</v>
      </c>
      <c r="K36" s="23">
        <v>15.12484893125014</v>
      </c>
      <c r="L36" s="23">
        <v>3.3005502720215141</v>
      </c>
      <c r="M36" s="23">
        <v>0.80988265492958877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workbookViewId="0">
      <pane ySplit="23" topLeftCell="A24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41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205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2460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2510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29053.625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2562.5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69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70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0.39303320651353679</v>
      </c>
      <c r="C16" s="6">
        <v>2.4037601464089691E-4</v>
      </c>
      <c r="D16" s="3">
        <v>1.5504064455519301E-2</v>
      </c>
      <c r="E16" s="7">
        <v>8.7722502711888289E-3</v>
      </c>
      <c r="F16" s="8">
        <v>0.38426095624234802</v>
      </c>
      <c r="G16" s="8">
        <v>0.40180545678472568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0.4040591262924052</v>
      </c>
      <c r="C17" s="6">
        <v>1.6951680915488021E-4</v>
      </c>
      <c r="D17" s="3">
        <v>1.3019862101991721E-2</v>
      </c>
      <c r="E17" s="7">
        <v>7.3666804716087924E-3</v>
      </c>
      <c r="F17" s="8">
        <v>0.39669244582079638</v>
      </c>
      <c r="G17" s="8">
        <v>0.41142580676401402</v>
      </c>
      <c r="H17" s="11">
        <v>0.2947848419563609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0.40322597296577628</v>
      </c>
      <c r="C18" s="6">
        <v>1.209305494461133E-4</v>
      </c>
      <c r="D18" s="3">
        <v>1.099684270352692E-2</v>
      </c>
      <c r="E18" s="7">
        <v>6.2220494932148972E-3</v>
      </c>
      <c r="F18" s="8">
        <v>0.39700392347256142</v>
      </c>
      <c r="G18" s="8">
        <v>0.4094480224589912</v>
      </c>
      <c r="H18" s="12">
        <v>0.49691091423254452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0.41443640111698088</v>
      </c>
      <c r="C19" s="6">
        <v>1.18264550280307E-4</v>
      </c>
      <c r="D19" s="3">
        <v>1.0874950587488059E-2</v>
      </c>
      <c r="E19" s="7">
        <v>6.153082536127911E-3</v>
      </c>
      <c r="F19" s="8">
        <v>0.40828331858085298</v>
      </c>
      <c r="G19" s="8">
        <v>0.42058948365310878</v>
      </c>
      <c r="H19" s="14">
        <v>0.50800186758656007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255</v>
      </c>
      <c r="D24" s="18">
        <v>0.3773781922073281</v>
      </c>
      <c r="E24" s="18">
        <v>0.46941591608558358</v>
      </c>
      <c r="F24" s="10">
        <v>0.42339705414645579</v>
      </c>
      <c r="G24" s="19">
        <v>29014.5</v>
      </c>
      <c r="H24" s="19">
        <v>2548</v>
      </c>
      <c r="I24" s="7">
        <v>0.39661290013531292</v>
      </c>
      <c r="J24" s="13">
        <v>0.42802931139069278</v>
      </c>
      <c r="K24" s="18">
        <v>26.007781202936371</v>
      </c>
      <c r="L24" s="18">
        <v>2.4172994943036552</v>
      </c>
      <c r="M24" s="18">
        <v>1.082922194037101</v>
      </c>
    </row>
    <row r="25" spans="1:13" ht="18" customHeight="1" x14ac:dyDescent="0.2">
      <c r="A25" s="20">
        <v>2</v>
      </c>
      <c r="B25" s="2">
        <v>256</v>
      </c>
      <c r="C25" s="2">
        <v>460</v>
      </c>
      <c r="D25" s="3">
        <v>0.36319543622655642</v>
      </c>
      <c r="E25" s="3">
        <v>0.41822706911238777</v>
      </c>
      <c r="F25" s="10">
        <v>0.39071125266947221</v>
      </c>
      <c r="G25" s="21">
        <v>28877</v>
      </c>
      <c r="H25" s="21">
        <v>2519</v>
      </c>
      <c r="I25" s="7">
        <v>0.39270360797355758</v>
      </c>
      <c r="J25" s="13">
        <v>0.41032487687024261</v>
      </c>
      <c r="K25" s="3">
        <v>21.061603625725692</v>
      </c>
      <c r="L25" s="3">
        <v>2.3881010797899438</v>
      </c>
      <c r="M25" s="3">
        <v>1.0957169471053401</v>
      </c>
    </row>
    <row r="26" spans="1:13" ht="18" customHeight="1" x14ac:dyDescent="0.2">
      <c r="A26" s="16">
        <v>3</v>
      </c>
      <c r="B26" s="17">
        <v>461</v>
      </c>
      <c r="C26" s="17">
        <v>665</v>
      </c>
      <c r="D26" s="18">
        <v>0.39648197242119831</v>
      </c>
      <c r="E26" s="18">
        <v>0.40066198558726579</v>
      </c>
      <c r="F26" s="10">
        <v>0.39857197900423208</v>
      </c>
      <c r="G26" s="19">
        <v>29036</v>
      </c>
      <c r="H26" s="19">
        <v>2596.5</v>
      </c>
      <c r="I26" s="7">
        <v>0.391723083747679</v>
      </c>
      <c r="J26" s="13">
        <v>0.39826256405994509</v>
      </c>
      <c r="K26" s="18">
        <v>21.743888772663158</v>
      </c>
      <c r="L26" s="18">
        <v>2.4222966267882771</v>
      </c>
      <c r="M26" s="18">
        <v>1.1104532318253511</v>
      </c>
    </row>
    <row r="27" spans="1:13" ht="18" customHeight="1" x14ac:dyDescent="0.2">
      <c r="A27" s="20">
        <v>4</v>
      </c>
      <c r="B27" s="2">
        <v>666</v>
      </c>
      <c r="C27" s="2">
        <v>870</v>
      </c>
      <c r="D27" s="3">
        <v>0.40403712323805829</v>
      </c>
      <c r="E27" s="3">
        <v>0.4465897947710798</v>
      </c>
      <c r="F27" s="10">
        <v>0.42531345900456913</v>
      </c>
      <c r="G27" s="21">
        <v>28923</v>
      </c>
      <c r="H27" s="21">
        <v>2571</v>
      </c>
      <c r="I27" s="7">
        <v>0.41329430243660531</v>
      </c>
      <c r="J27" s="13">
        <v>0.43741456893858849</v>
      </c>
      <c r="K27" s="3">
        <v>25.93213207115932</v>
      </c>
      <c r="L27" s="3">
        <v>2.4385997700861579</v>
      </c>
      <c r="M27" s="3">
        <v>1.133765423814175</v>
      </c>
    </row>
    <row r="28" spans="1:13" ht="18" customHeight="1" x14ac:dyDescent="0.2">
      <c r="A28" s="16">
        <v>5</v>
      </c>
      <c r="B28" s="17">
        <v>871</v>
      </c>
      <c r="C28" s="17">
        <v>1075</v>
      </c>
      <c r="D28" s="18">
        <v>0.39634517192103891</v>
      </c>
      <c r="E28" s="18">
        <v>0.37841630919784741</v>
      </c>
      <c r="F28" s="10">
        <v>0.38738074055944322</v>
      </c>
      <c r="G28" s="19">
        <v>28863</v>
      </c>
      <c r="H28" s="19">
        <v>2522.5</v>
      </c>
      <c r="I28" s="7">
        <v>0.4082729857070988</v>
      </c>
      <c r="J28" s="13">
        <v>0.40813827069920672</v>
      </c>
      <c r="K28" s="18">
        <v>19.777547542821829</v>
      </c>
      <c r="L28" s="18">
        <v>2.4269151895266758</v>
      </c>
      <c r="M28" s="18">
        <v>1.112861859598147</v>
      </c>
    </row>
    <row r="29" spans="1:13" ht="18" customHeight="1" x14ac:dyDescent="0.2">
      <c r="A29" s="20">
        <v>6</v>
      </c>
      <c r="B29" s="2">
        <v>1076</v>
      </c>
      <c r="C29" s="2">
        <v>1280</v>
      </c>
      <c r="D29" s="3">
        <v>0.40220512894212729</v>
      </c>
      <c r="E29" s="3">
        <v>0.40605545180022917</v>
      </c>
      <c r="F29" s="10">
        <v>0.4041302903711782</v>
      </c>
      <c r="G29" s="21">
        <v>28923.5</v>
      </c>
      <c r="H29" s="21">
        <v>2585.5</v>
      </c>
      <c r="I29" s="7">
        <v>0.4100818592515037</v>
      </c>
      <c r="J29" s="13">
        <v>0.41532595194836669</v>
      </c>
      <c r="K29" s="3">
        <v>21.11247903608837</v>
      </c>
      <c r="L29" s="3">
        <v>2.506146950693013</v>
      </c>
      <c r="M29" s="3">
        <v>1.140160996211685</v>
      </c>
    </row>
    <row r="30" spans="1:13" ht="18" customHeight="1" x14ac:dyDescent="0.2">
      <c r="A30" s="16">
        <v>7</v>
      </c>
      <c r="B30" s="17">
        <v>1281</v>
      </c>
      <c r="C30" s="17">
        <v>1485</v>
      </c>
      <c r="D30" s="18">
        <v>0.408152463260544</v>
      </c>
      <c r="E30" s="18">
        <v>0.37149365182663269</v>
      </c>
      <c r="F30" s="10">
        <v>0.38982305754358842</v>
      </c>
      <c r="G30" s="19">
        <v>28879.5</v>
      </c>
      <c r="H30" s="19">
        <v>2582.5</v>
      </c>
      <c r="I30" s="7">
        <v>0.41106253590801473</v>
      </c>
      <c r="J30" s="13">
        <v>0.40544149815915509</v>
      </c>
      <c r="K30" s="18">
        <v>19.888741354519489</v>
      </c>
      <c r="L30" s="18">
        <v>2.4429392310430371</v>
      </c>
      <c r="M30" s="18">
        <v>1.129437550400505</v>
      </c>
    </row>
    <row r="31" spans="1:13" ht="18" customHeight="1" x14ac:dyDescent="0.2">
      <c r="A31" s="20">
        <v>8</v>
      </c>
      <c r="B31" s="2">
        <v>1486</v>
      </c>
      <c r="C31" s="2">
        <v>1690</v>
      </c>
      <c r="D31" s="3">
        <v>0.42020525244329487</v>
      </c>
      <c r="E31" s="3">
        <v>0.40604660293961969</v>
      </c>
      <c r="F31" s="10">
        <v>0.41312592769145728</v>
      </c>
      <c r="G31" s="21">
        <v>28939.5</v>
      </c>
      <c r="H31" s="21">
        <v>2583.5</v>
      </c>
      <c r="I31" s="7">
        <v>0.42183794606641772</v>
      </c>
      <c r="J31" s="13">
        <v>0.42289603304018841</v>
      </c>
      <c r="K31" s="3">
        <v>23.639058125800329</v>
      </c>
      <c r="L31" s="3">
        <v>2.4517552353409551</v>
      </c>
      <c r="M31" s="3">
        <v>1.150685477858008</v>
      </c>
    </row>
    <row r="32" spans="1:13" ht="18" customHeight="1" x14ac:dyDescent="0.2">
      <c r="A32" s="16">
        <v>9</v>
      </c>
      <c r="B32" s="17">
        <v>1691</v>
      </c>
      <c r="C32" s="17">
        <v>1895</v>
      </c>
      <c r="D32" s="18">
        <v>0.37761190089978119</v>
      </c>
      <c r="E32" s="18">
        <v>0.41787811878964709</v>
      </c>
      <c r="F32" s="10">
        <v>0.39774500984471423</v>
      </c>
      <c r="G32" s="19">
        <v>28994.5</v>
      </c>
      <c r="H32" s="19">
        <v>2553</v>
      </c>
      <c r="I32" s="7">
        <v>0.38187907835489882</v>
      </c>
      <c r="J32" s="13">
        <v>0.4040114184303697</v>
      </c>
      <c r="K32" s="18">
        <v>20.834906481626358</v>
      </c>
      <c r="L32" s="18">
        <v>2.4635493842295859</v>
      </c>
      <c r="M32" s="18">
        <v>1.091037832617914</v>
      </c>
    </row>
    <row r="33" spans="1:13" ht="18" customHeight="1" x14ac:dyDescent="0.2">
      <c r="A33" s="20">
        <v>10</v>
      </c>
      <c r="B33" s="2">
        <v>1896</v>
      </c>
      <c r="C33" s="2">
        <v>2100</v>
      </c>
      <c r="D33" s="3">
        <v>0.39612531492460229</v>
      </c>
      <c r="E33" s="3">
        <v>0.4210996272046143</v>
      </c>
      <c r="F33" s="10">
        <v>0.4086124710646083</v>
      </c>
      <c r="G33" s="21">
        <v>28993.5</v>
      </c>
      <c r="H33" s="21">
        <v>2596</v>
      </c>
      <c r="I33" s="7">
        <v>0.40285972433494771</v>
      </c>
      <c r="J33" s="13">
        <v>0.41243331077231721</v>
      </c>
      <c r="K33" s="3">
        <v>23.28469791410766</v>
      </c>
      <c r="L33" s="3">
        <v>2.4301177084685639</v>
      </c>
      <c r="M33" s="3">
        <v>1.1323955035722639</v>
      </c>
    </row>
    <row r="34" spans="1:13" ht="18" customHeight="1" x14ac:dyDescent="0.2">
      <c r="A34" s="16">
        <v>11</v>
      </c>
      <c r="B34" s="17">
        <v>2101</v>
      </c>
      <c r="C34" s="17">
        <v>2305</v>
      </c>
      <c r="D34" s="18">
        <v>0.38815297657879189</v>
      </c>
      <c r="E34" s="18">
        <v>0.40147330335472098</v>
      </c>
      <c r="F34" s="10">
        <v>0.39481313996675649</v>
      </c>
      <c r="G34" s="19">
        <v>28844.5</v>
      </c>
      <c r="H34" s="19">
        <v>2570.5</v>
      </c>
      <c r="I34" s="7">
        <v>0.40275779986487009</v>
      </c>
      <c r="J34" s="13">
        <v>0.41451803516627628</v>
      </c>
      <c r="K34" s="18">
        <v>20.247781405414209</v>
      </c>
      <c r="L34" s="18">
        <v>2.4686156844107612</v>
      </c>
      <c r="M34" s="18">
        <v>1.1323331916843129</v>
      </c>
    </row>
    <row r="35" spans="1:13" ht="18" customHeight="1" x14ac:dyDescent="0.2">
      <c r="A35" s="20">
        <v>12</v>
      </c>
      <c r="B35" s="2">
        <v>2306</v>
      </c>
      <c r="C35" s="2">
        <v>2510</v>
      </c>
      <c r="D35" s="3">
        <v>0.38650754509911939</v>
      </c>
      <c r="E35" s="3">
        <v>0.4436627221856545</v>
      </c>
      <c r="F35" s="10">
        <v>0.41508513364238703</v>
      </c>
      <c r="G35" s="21">
        <v>29065</v>
      </c>
      <c r="H35" s="21">
        <v>2521</v>
      </c>
      <c r="I35" s="7">
        <v>0.40562585180840849</v>
      </c>
      <c r="J35" s="13">
        <v>0.41644097392842211</v>
      </c>
      <c r="K35" s="3">
        <v>23.76326381242902</v>
      </c>
      <c r="L35" s="3">
        <v>2.4627342128299281</v>
      </c>
      <c r="M35" s="3">
        <v>1.1151118250647609</v>
      </c>
    </row>
    <row r="36" spans="1:13" ht="18" customHeight="1" x14ac:dyDescent="0.2">
      <c r="A36" s="5" t="s">
        <v>52</v>
      </c>
      <c r="B36" s="22"/>
      <c r="C36" s="22"/>
      <c r="D36" s="23">
        <v>0.39303320651353679</v>
      </c>
      <c r="E36" s="23">
        <v>0.41508504607127361</v>
      </c>
      <c r="F36" s="23">
        <v>0.4040591262924052</v>
      </c>
      <c r="G36" s="24">
        <v>28946.125</v>
      </c>
      <c r="H36" s="24">
        <v>2562.416666666667</v>
      </c>
      <c r="I36" s="23">
        <v>0.40322597296577628</v>
      </c>
      <c r="J36" s="25">
        <v>0.41443640111698088</v>
      </c>
      <c r="K36" s="23">
        <v>22.27449011210765</v>
      </c>
      <c r="L36" s="23">
        <v>2.4432558806258799</v>
      </c>
      <c r="M36" s="23">
        <v>1.118906836149131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>
      <pane ySplit="23" topLeftCell="A24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9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45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540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590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6377.625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562.5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72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73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0.40749335044516932</v>
      </c>
      <c r="C16" s="6">
        <v>4.2874103434442678E-4</v>
      </c>
      <c r="D16" s="3">
        <v>2.0706062743661019E-2</v>
      </c>
      <c r="E16" s="7">
        <v>1.171555788093177E-2</v>
      </c>
      <c r="F16" s="8">
        <v>0.39577779256423751</v>
      </c>
      <c r="G16" s="8">
        <v>0.41920890832610103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0.41777359928761709</v>
      </c>
      <c r="C17" s="6">
        <v>2.365366060474537E-4</v>
      </c>
      <c r="D17" s="3">
        <v>1.5379746618441209E-2</v>
      </c>
      <c r="E17" s="7">
        <v>8.7019108332207617E-3</v>
      </c>
      <c r="F17" s="8">
        <v>0.40907168845439629</v>
      </c>
      <c r="G17" s="8">
        <v>0.42647551012083779</v>
      </c>
      <c r="H17" s="11">
        <v>0.44829958623126959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0.41909948582914519</v>
      </c>
      <c r="C18" s="6">
        <v>1.4948434957942131E-4</v>
      </c>
      <c r="D18" s="3">
        <v>1.222637925059669E-2</v>
      </c>
      <c r="E18" s="7">
        <v>6.9177252845155253E-3</v>
      </c>
      <c r="F18" s="8">
        <v>0.41218176054462968</v>
      </c>
      <c r="G18" s="8">
        <v>0.4260172111136607</v>
      </c>
      <c r="H18" s="12">
        <v>0.65134116493422967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0.42378043747449301</v>
      </c>
      <c r="C19" s="6">
        <v>7.9498224754718665E-5</v>
      </c>
      <c r="D19" s="3">
        <v>8.9161776986957063E-3</v>
      </c>
      <c r="E19" s="7">
        <v>5.0448024425948142E-3</v>
      </c>
      <c r="F19" s="8">
        <v>0.41873563503189809</v>
      </c>
      <c r="G19" s="8">
        <v>0.42882523991708782</v>
      </c>
      <c r="H19" s="14">
        <v>0.81457752259175142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95</v>
      </c>
      <c r="D24" s="18">
        <v>0.39985693120833632</v>
      </c>
      <c r="E24" s="18">
        <v>0.47170505489165149</v>
      </c>
      <c r="F24" s="10">
        <v>0.43578099304999379</v>
      </c>
      <c r="G24" s="19">
        <v>6441.5</v>
      </c>
      <c r="H24" s="19">
        <v>564</v>
      </c>
      <c r="I24" s="7">
        <v>0.40640634607948473</v>
      </c>
      <c r="J24" s="13">
        <v>0.419579376309825</v>
      </c>
      <c r="K24" s="18">
        <v>17.780271431057589</v>
      </c>
      <c r="L24" s="18">
        <v>2.9695143965004309</v>
      </c>
      <c r="M24" s="18">
        <v>1.142494095284923</v>
      </c>
    </row>
    <row r="25" spans="1:13" ht="18" customHeight="1" x14ac:dyDescent="0.2">
      <c r="A25" s="20">
        <v>2</v>
      </c>
      <c r="B25" s="2">
        <v>96</v>
      </c>
      <c r="C25" s="2">
        <v>140</v>
      </c>
      <c r="D25" s="3">
        <v>0.40362166682421979</v>
      </c>
      <c r="E25" s="3">
        <v>0.4288265975189281</v>
      </c>
      <c r="F25" s="10">
        <v>0.41622413217157389</v>
      </c>
      <c r="G25" s="21">
        <v>6376.5</v>
      </c>
      <c r="H25" s="21">
        <v>550</v>
      </c>
      <c r="I25" s="7">
        <v>0.41049383121733451</v>
      </c>
      <c r="J25" s="13">
        <v>0.42418080118098078</v>
      </c>
      <c r="K25" s="3">
        <v>13.657671440403069</v>
      </c>
      <c r="L25" s="3">
        <v>3.0143562195225728</v>
      </c>
      <c r="M25" s="3">
        <v>1.0305549930037159</v>
      </c>
    </row>
    <row r="26" spans="1:13" ht="18" customHeight="1" x14ac:dyDescent="0.2">
      <c r="A26" s="16">
        <v>3</v>
      </c>
      <c r="B26" s="17">
        <v>141</v>
      </c>
      <c r="C26" s="17">
        <v>185</v>
      </c>
      <c r="D26" s="18">
        <v>0.39677249530020509</v>
      </c>
      <c r="E26" s="18">
        <v>0.41768666717074959</v>
      </c>
      <c r="F26" s="10">
        <v>0.40722958123547742</v>
      </c>
      <c r="G26" s="19">
        <v>6301</v>
      </c>
      <c r="H26" s="19">
        <v>549</v>
      </c>
      <c r="I26" s="7">
        <v>0.43127982970649398</v>
      </c>
      <c r="J26" s="13">
        <v>0.43386110239093029</v>
      </c>
      <c r="K26" s="18">
        <v>14.571672362088369</v>
      </c>
      <c r="L26" s="18">
        <v>2.8844409260074202</v>
      </c>
      <c r="M26" s="18">
        <v>1.098144595956257</v>
      </c>
    </row>
    <row r="27" spans="1:13" ht="18" customHeight="1" x14ac:dyDescent="0.2">
      <c r="A27" s="20">
        <v>4</v>
      </c>
      <c r="B27" s="2">
        <v>186</v>
      </c>
      <c r="C27" s="2">
        <v>230</v>
      </c>
      <c r="D27" s="3">
        <v>0.42359096298251581</v>
      </c>
      <c r="E27" s="3">
        <v>0.44184798272186521</v>
      </c>
      <c r="F27" s="10">
        <v>0.43271947285219048</v>
      </c>
      <c r="G27" s="21">
        <v>6371</v>
      </c>
      <c r="H27" s="21">
        <v>575.5</v>
      </c>
      <c r="I27" s="7">
        <v>0.42580084502315629</v>
      </c>
      <c r="J27" s="13">
        <v>0.42630912657563308</v>
      </c>
      <c r="K27" s="3">
        <v>15.071131200896289</v>
      </c>
      <c r="L27" s="3">
        <v>3.08709322705027</v>
      </c>
      <c r="M27" s="3">
        <v>1.2051662590479539</v>
      </c>
    </row>
    <row r="28" spans="1:13" ht="18" customHeight="1" x14ac:dyDescent="0.2">
      <c r="A28" s="16">
        <v>5</v>
      </c>
      <c r="B28" s="17">
        <v>231</v>
      </c>
      <c r="C28" s="17">
        <v>275</v>
      </c>
      <c r="D28" s="18">
        <v>0.40703885563869052</v>
      </c>
      <c r="E28" s="18">
        <v>0.4320003656946127</v>
      </c>
      <c r="F28" s="10">
        <v>0.41951961066665161</v>
      </c>
      <c r="G28" s="19">
        <v>6362</v>
      </c>
      <c r="H28" s="19">
        <v>567.5</v>
      </c>
      <c r="I28" s="7">
        <v>0.41038806946930367</v>
      </c>
      <c r="J28" s="13">
        <v>0.42018213563551299</v>
      </c>
      <c r="K28" s="18">
        <v>12.699942908279329</v>
      </c>
      <c r="L28" s="18">
        <v>3.0953224116277571</v>
      </c>
      <c r="M28" s="18">
        <v>1.1194202320335249</v>
      </c>
    </row>
    <row r="29" spans="1:13" ht="18" customHeight="1" x14ac:dyDescent="0.2">
      <c r="A29" s="20">
        <v>6</v>
      </c>
      <c r="B29" s="2">
        <v>276</v>
      </c>
      <c r="C29" s="2">
        <v>320</v>
      </c>
      <c r="D29" s="3">
        <v>0.39231947104372278</v>
      </c>
      <c r="E29" s="3">
        <v>0.45142428554079139</v>
      </c>
      <c r="F29" s="10">
        <v>0.42187187829225709</v>
      </c>
      <c r="G29" s="21">
        <v>6381.5</v>
      </c>
      <c r="H29" s="21">
        <v>544.5</v>
      </c>
      <c r="I29" s="7">
        <v>0.43540637609252419</v>
      </c>
      <c r="J29" s="13">
        <v>0.43201505969463222</v>
      </c>
      <c r="K29" s="3">
        <v>15.075559718605961</v>
      </c>
      <c r="L29" s="3">
        <v>2.9892276339907089</v>
      </c>
      <c r="M29" s="3">
        <v>1.1485571308083771</v>
      </c>
    </row>
    <row r="30" spans="1:13" ht="18" customHeight="1" x14ac:dyDescent="0.2">
      <c r="A30" s="16">
        <v>7</v>
      </c>
      <c r="B30" s="17">
        <v>321</v>
      </c>
      <c r="C30" s="17">
        <v>365</v>
      </c>
      <c r="D30" s="18">
        <v>0.39901919078966458</v>
      </c>
      <c r="E30" s="18">
        <v>0.4214969332701089</v>
      </c>
      <c r="F30" s="10">
        <v>0.41025806202988668</v>
      </c>
      <c r="G30" s="19">
        <v>6318.5</v>
      </c>
      <c r="H30" s="19">
        <v>566</v>
      </c>
      <c r="I30" s="7">
        <v>0.41963371298295449</v>
      </c>
      <c r="J30" s="13">
        <v>0.42224843710332022</v>
      </c>
      <c r="K30" s="18">
        <v>13.285530006282549</v>
      </c>
      <c r="L30" s="18">
        <v>2.9805977365038441</v>
      </c>
      <c r="M30" s="18">
        <v>1.1662917248759901</v>
      </c>
    </row>
    <row r="31" spans="1:13" ht="18" customHeight="1" x14ac:dyDescent="0.2">
      <c r="A31" s="20">
        <v>8</v>
      </c>
      <c r="B31" s="2">
        <v>366</v>
      </c>
      <c r="C31" s="2">
        <v>410</v>
      </c>
      <c r="D31" s="3">
        <v>0.40823714183814708</v>
      </c>
      <c r="E31" s="3">
        <v>0.42472414651098611</v>
      </c>
      <c r="F31" s="10">
        <v>0.41648064417456648</v>
      </c>
      <c r="G31" s="21">
        <v>6309</v>
      </c>
      <c r="H31" s="21">
        <v>547.5</v>
      </c>
      <c r="I31" s="7">
        <v>0.42969615311237641</v>
      </c>
      <c r="J31" s="13">
        <v>0.44212104700596649</v>
      </c>
      <c r="K31" s="3">
        <v>14.02627176066661</v>
      </c>
      <c r="L31" s="3">
        <v>2.9969183818211032</v>
      </c>
      <c r="M31" s="3">
        <v>1.1146850987289261</v>
      </c>
    </row>
    <row r="32" spans="1:13" ht="18" customHeight="1" x14ac:dyDescent="0.2">
      <c r="A32" s="16">
        <v>9</v>
      </c>
      <c r="B32" s="17">
        <v>411</v>
      </c>
      <c r="C32" s="17">
        <v>455</v>
      </c>
      <c r="D32" s="18">
        <v>0.38203223253030028</v>
      </c>
      <c r="E32" s="18">
        <v>0.4026710430718991</v>
      </c>
      <c r="F32" s="10">
        <v>0.39235163780109972</v>
      </c>
      <c r="G32" s="19">
        <v>6345.5</v>
      </c>
      <c r="H32" s="19">
        <v>539</v>
      </c>
      <c r="I32" s="7">
        <v>0.40237435865340998</v>
      </c>
      <c r="J32" s="13">
        <v>0.41448866568525139</v>
      </c>
      <c r="K32" s="18">
        <v>14.17260716011158</v>
      </c>
      <c r="L32" s="18">
        <v>2.7719179280610629</v>
      </c>
      <c r="M32" s="18">
        <v>1.030606921440764</v>
      </c>
    </row>
    <row r="33" spans="1:13" ht="18" customHeight="1" x14ac:dyDescent="0.2">
      <c r="A33" s="20">
        <v>10</v>
      </c>
      <c r="B33" s="2">
        <v>456</v>
      </c>
      <c r="C33" s="2">
        <v>500</v>
      </c>
      <c r="D33" s="3">
        <v>0.46202588481791301</v>
      </c>
      <c r="E33" s="3">
        <v>0.43217490187528929</v>
      </c>
      <c r="F33" s="10">
        <v>0.44710039334660112</v>
      </c>
      <c r="G33" s="21">
        <v>6418.5</v>
      </c>
      <c r="H33" s="21">
        <v>584.5</v>
      </c>
      <c r="I33" s="7">
        <v>0.43656722985836671</v>
      </c>
      <c r="J33" s="13">
        <v>0.42379284468555228</v>
      </c>
      <c r="K33" s="3">
        <v>17.94980340091395</v>
      </c>
      <c r="L33" s="3">
        <v>3.062306929356164</v>
      </c>
      <c r="M33" s="3">
        <v>1.1505564081403641</v>
      </c>
    </row>
    <row r="34" spans="1:13" ht="18" customHeight="1" x14ac:dyDescent="0.2">
      <c r="A34" s="16">
        <v>11</v>
      </c>
      <c r="B34" s="17">
        <v>501</v>
      </c>
      <c r="C34" s="17">
        <v>545</v>
      </c>
      <c r="D34" s="18">
        <v>0.42081385352179168</v>
      </c>
      <c r="E34" s="18">
        <v>0.4083416753815749</v>
      </c>
      <c r="F34" s="10">
        <v>0.41457776445168332</v>
      </c>
      <c r="G34" s="19">
        <v>6338</v>
      </c>
      <c r="H34" s="19">
        <v>585.5</v>
      </c>
      <c r="I34" s="7">
        <v>0.40661929680293402</v>
      </c>
      <c r="J34" s="13">
        <v>0.40991107383615172</v>
      </c>
      <c r="K34" s="18">
        <v>12.92706510574348</v>
      </c>
      <c r="L34" s="18">
        <v>3.0386785351146059</v>
      </c>
      <c r="M34" s="18">
        <v>1.168395952388227</v>
      </c>
    </row>
    <row r="35" spans="1:13" ht="18" customHeight="1" x14ac:dyDescent="0.2">
      <c r="A35" s="20">
        <v>12</v>
      </c>
      <c r="B35" s="2">
        <v>546</v>
      </c>
      <c r="C35" s="2">
        <v>590</v>
      </c>
      <c r="D35" s="3">
        <v>0.39459151884652383</v>
      </c>
      <c r="E35" s="3">
        <v>0.40374652391232257</v>
      </c>
      <c r="F35" s="10">
        <v>0.39916902137942317</v>
      </c>
      <c r="G35" s="21">
        <v>6370</v>
      </c>
      <c r="H35" s="21">
        <v>537</v>
      </c>
      <c r="I35" s="7">
        <v>0.41452778095140302</v>
      </c>
      <c r="J35" s="13">
        <v>0.41667557959015838</v>
      </c>
      <c r="K35" s="3">
        <v>12.64555990540874</v>
      </c>
      <c r="L35" s="3">
        <v>2.9150804831964838</v>
      </c>
      <c r="M35" s="3">
        <v>1.044788340938976</v>
      </c>
    </row>
    <row r="36" spans="1:13" ht="18" customHeight="1" x14ac:dyDescent="0.2">
      <c r="A36" s="5" t="s">
        <v>52</v>
      </c>
      <c r="B36" s="22"/>
      <c r="C36" s="22"/>
      <c r="D36" s="23">
        <v>0.40749335044516932</v>
      </c>
      <c r="E36" s="23">
        <v>0.42805384813006492</v>
      </c>
      <c r="F36" s="23">
        <v>0.41777359928761709</v>
      </c>
      <c r="G36" s="24">
        <v>6361.083333333333</v>
      </c>
      <c r="H36" s="24">
        <v>559.16666666666663</v>
      </c>
      <c r="I36" s="23">
        <v>0.41909948582914519</v>
      </c>
      <c r="J36" s="25">
        <v>0.42378043747449301</v>
      </c>
      <c r="K36" s="23">
        <v>14.488590533371459</v>
      </c>
      <c r="L36" s="23">
        <v>2.9837879007293688</v>
      </c>
      <c r="M36" s="23">
        <v>1.1183051460540001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S1-14-R1</vt:lpstr>
      <vt:lpstr>S3-16-R3</vt:lpstr>
      <vt:lpstr>S1-16-R2</vt:lpstr>
      <vt:lpstr>S2-14-R4</vt:lpstr>
      <vt:lpstr>S3-12-R1</vt:lpstr>
      <vt:lpstr>S1-10-R2</vt:lpstr>
      <vt:lpstr>S3-14-R2</vt:lpstr>
      <vt:lpstr>S2-10-R3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2026-04-29T16:36:31Z</dcterms:created>
  <dcterms:modified xsi:type="dcterms:W3CDTF">2026-04-29T17:06:10Z</dcterms:modified>
</cp:coreProperties>
</file>