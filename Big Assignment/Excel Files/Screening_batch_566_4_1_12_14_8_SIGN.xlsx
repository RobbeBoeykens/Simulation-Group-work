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6AD71677-3656-A748-A404-536302DDB42A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2" l="1"/>
  <c r="E16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G16" i="2" l="1"/>
  <c r="F16" i="2"/>
  <c r="G19" i="2"/>
  <c r="F19" i="2"/>
  <c r="G20" i="2"/>
  <c r="F20" i="2"/>
  <c r="G17" i="2"/>
  <c r="F17" i="2"/>
  <c r="G21" i="2"/>
  <c r="F21" i="2"/>
  <c r="G18" i="2"/>
  <c r="F18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<sst xmlns="http://schemas.openxmlformats.org/spreadsheetml/2006/main" count="123" uniqueCount="66">
  <si>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</si>
  <si>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</si>
  <si>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</si>
  <si>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</si>
  <si>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</si>
  <si>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</si>
  <si>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</si>
  <si>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</si>
  <si>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</si>
  <si>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</si>
  <si>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</si>
  <si>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</si>
  <si>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</si>
  <si>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</si>
  <si>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</si>
  <si>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</si>
  <si>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</si>
  <si>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</si>
  <si>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</si>
  <si>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</si>
  <si>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</si>
  <si>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</si>
  <si>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</si>
  <si>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</si>
  <si>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</si>
  <si>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</si>
  <si>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</si>
  <si>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</si>
  <si>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</si>
  <si>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</si>
  <si>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</si>
  <si>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</si>
  <si>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</si>
  <si>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</si>
  <si>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</si>
  <si>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</si>
  <si>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</si>
  <si>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</si>
  <si>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</si>
  <si>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</si>
  <si>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</si>
  <si>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</si>
  <si>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</si>
  <si>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</si>
  <si>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</si>
  <si>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</si>
  <si>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</si>
  <si>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</si>
  <si>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</si>
  <si>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</si>
  <si>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</si>
  <si>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</si>
  <si>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</si>
  <si>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</si>
  <si>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</si>
  <si>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</si>
  <si>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</si>
  <si>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</si>
  <si>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</si>
  <si>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</si>
  <si>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</si>
  <si>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(14)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</si>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</sst>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0.43332540155288241</c:v>
                </c:pt>
                <c:pt idx="1">
                  <c:v>0.43415298304003169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02-884E-9C75-F519352A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0.45724284580170987</c:v>
                </c:pt>
                <c:pt idx="1">
                  <c:v>0.41023553879120422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04-204D-BB6A-FAD78A510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0.43439737505007259</c:v>
                </c:pt>
                <c:pt idx="1">
                  <c:v>0.43308100954284162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8-9247-A1F6-63C3EED70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37-7A4D-B046-86B869628ABF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37-7A4D-B046-86B869628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1A-3E44-9DE3-9AFD07E3FC79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1A-3E44-9DE3-9AFD07E3F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0.45982188066221619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4C-7544-8894-A3F313B837C5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0.45797405231534871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4C-7544-8894-A3F313B83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0.41133787553989531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60-3C4E-8CBF-A0882B86D89F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14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0.41078828044235949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60-3C4E-8CBF-A0882B86D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18-B740-A94E-EF993FA660E2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18-B740-A94E-EF993FA6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0.45982188066221619</c:v>
                </c:pt>
                <c:pt idx="1">
                  <c:v>0.40988927657385338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AE-A245-A545-7FE1BA943CE2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0.45797405231534871</c:v>
                </c:pt>
                <c:pt idx="1">
                  <c:v>0.40892672260870849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AE-A245-A545-7FE1BA94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12</v>
      </c>
      <c r="D4" s="3" t="s">
        <v>17</v>
      </c>
      <c r="E4" s="3">
        <v>1</v>
      </c>
      <c r="F4" s="3" t="s">
        <v>17</v>
      </c>
      <c r="G4" s="3">
        <v>1</v>
      </c>
      <c r="H4" s="4">
        <v>0.46239073326871483</v>
      </c>
      <c r="I4" s="4">
        <v>0.47113689241056012</v>
      </c>
      <c r="J4" s="4">
        <v>0.44398509978929479</v>
      </c>
      <c r="K4" s="4">
        <v>0.4607491230745781</v>
      </c>
      <c r="L4" s="4">
        <v>0.45387738625138319</v>
      </c>
      <c r="M4" s="4">
        <v>0.4508656754856662</v>
      </c>
      <c r="N4" s="4">
        <v>0.4651862136880896</v>
      </c>
      <c r="O4" s="4">
        <v>0.44413261542631649</v>
      </c>
      <c r="P4" s="4">
        <v>0.45654046742432541</v>
      </c>
    </row>
    <row r="5" spans="1:16" x14ac:dyDescent="0.2">
      <c r="A5" s="2">
        <v>2</v>
      </c>
      <c r="B5" s="3" t="s">
        <v>18</v>
      </c>
      <c r="C5" s="3">
        <v>14</v>
      </c>
      <c r="D5" s="3" t="s">
        <v>17</v>
      </c>
      <c r="E5" s="3">
        <v>1</v>
      </c>
      <c r="F5" s="3" t="s">
        <v>17</v>
      </c>
      <c r="G5" s="3">
        <v>1</v>
      </c>
      <c r="H5" s="4">
        <v>0.45982980182454092</v>
      </c>
      <c r="I5" s="4">
        <v>0.44934183990802018</v>
      </c>
      <c r="J5" s="4">
        <v>0.46969276865713899</v>
      </c>
      <c r="K5" s="4">
        <v>0.4578764147122652</v>
      </c>
      <c r="L5" s="4">
        <v>0.46434694079488459</v>
      </c>
      <c r="M5" s="4">
        <v>0.45595053601454483</v>
      </c>
      <c r="N5" s="4">
        <v>0.4569760698734141</v>
      </c>
      <c r="O5" s="4">
        <v>0.46456067351292102</v>
      </c>
      <c r="P5" s="4">
        <v>0.45982188066221619</v>
      </c>
    </row>
    <row r="6" spans="1:16" x14ac:dyDescent="0.2">
      <c r="A6" s="2">
        <v>3</v>
      </c>
      <c r="B6" s="3" t="s">
        <v>17</v>
      </c>
      <c r="C6" s="3">
        <v>12</v>
      </c>
      <c r="D6" s="3" t="s">
        <v>18</v>
      </c>
      <c r="E6" s="3">
        <v>2</v>
      </c>
      <c r="F6" s="3" t="s">
        <v>17</v>
      </c>
      <c r="G6" s="3">
        <v>1</v>
      </c>
      <c r="H6" s="4">
        <v>0.41444942730395851</v>
      </c>
      <c r="I6" s="4">
        <v>0.40859786445478657</v>
      </c>
      <c r="J6" s="4">
        <v>0.40940190466731818</v>
      </c>
      <c r="K6" s="4">
        <v>0.39885635242773892</v>
      </c>
      <c r="L6" s="4">
        <v>0.40784441722970238</v>
      </c>
      <c r="M6" s="4">
        <v>0.42282200413439291</v>
      </c>
      <c r="N6" s="4">
        <v>0.40866056847840398</v>
      </c>
      <c r="O6" s="4">
        <v>0.4200704656228611</v>
      </c>
      <c r="P6" s="4">
        <v>0.41133787553989531</v>
      </c>
    </row>
    <row r="7" spans="1:16" x14ac:dyDescent="0.2">
      <c r="A7" s="2">
        <v>4</v>
      </c>
      <c r="B7" s="3" t="s">
        <v>18</v>
      </c>
      <c r="C7" s="3">
        <v>14</v>
      </c>
      <c r="D7" s="3" t="s">
        <v>18</v>
      </c>
      <c r="E7" s="3">
        <v>2</v>
      </c>
      <c r="F7" s="3" t="s">
        <v>17</v>
      </c>
      <c r="G7" s="3">
        <v>1</v>
      </c>
      <c r="H7" s="4">
        <v>0.4217791284541953</v>
      </c>
      <c r="I7" s="4">
        <v>0.41045182580068229</v>
      </c>
      <c r="J7" s="4">
        <v>0.40060373674963318</v>
      </c>
      <c r="K7" s="4">
        <v>0.41460860167890068</v>
      </c>
      <c r="L7" s="4">
        <v>0.40739572759054948</v>
      </c>
      <c r="M7" s="4">
        <v>0.4061034687765655</v>
      </c>
      <c r="N7" s="4">
        <v>0.41099306355332421</v>
      </c>
      <c r="O7" s="4">
        <v>0.40717865998697678</v>
      </c>
      <c r="P7" s="4">
        <v>0.40988927657385338</v>
      </c>
    </row>
    <row r="8" spans="1:16" x14ac:dyDescent="0.2">
      <c r="A8" s="2">
        <v>5</v>
      </c>
      <c r="B8" s="3" t="s">
        <v>17</v>
      </c>
      <c r="C8" s="3">
        <v>12</v>
      </c>
      <c r="D8" s="3" t="s">
        <v>17</v>
      </c>
      <c r="E8" s="3">
        <v>1</v>
      </c>
      <c r="F8" s="3" t="s">
        <v>18</v>
      </c>
      <c r="G8" s="3">
        <v>2</v>
      </c>
      <c r="H8" s="4">
        <v>0.46074974653386791</v>
      </c>
      <c r="I8" s="4">
        <v>0.46912103334647481</v>
      </c>
      <c r="J8" s="4">
        <v>0.441775572543053</v>
      </c>
      <c r="K8" s="4">
        <v>0.45912793809871211</v>
      </c>
      <c r="L8" s="4">
        <v>0.45092830050498028</v>
      </c>
      <c r="M8" s="4">
        <v>0.4494565884855759</v>
      </c>
      <c r="N8" s="4">
        <v>0.46415045308641861</v>
      </c>
      <c r="O8" s="4">
        <v>0.44177022984051367</v>
      </c>
      <c r="P8" s="4">
        <v>0.45463498280494952</v>
      </c>
    </row>
    <row r="9" spans="1:16" x14ac:dyDescent="0.2">
      <c r="A9" s="2">
        <v>6</v>
      </c>
      <c r="B9" s="3" t="s">
        <v>18</v>
      </c>
      <c r="C9" s="3">
        <v>14</v>
      </c>
      <c r="D9" s="3" t="s">
        <v>17</v>
      </c>
      <c r="E9" s="3">
        <v>1</v>
      </c>
      <c r="F9" s="3" t="s">
        <v>18</v>
      </c>
      <c r="G9" s="3">
        <v>2</v>
      </c>
      <c r="H9" s="4">
        <v>0.45794313810674608</v>
      </c>
      <c r="I9" s="4">
        <v>0.44771015544875131</v>
      </c>
      <c r="J9" s="4">
        <v>0.46818795100708749</v>
      </c>
      <c r="K9" s="4">
        <v>0.45571794452216507</v>
      </c>
      <c r="L9" s="4">
        <v>0.46242236001057418</v>
      </c>
      <c r="M9" s="4">
        <v>0.45406467671378098</v>
      </c>
      <c r="N9" s="4">
        <v>0.45501454109809569</v>
      </c>
      <c r="O9" s="4">
        <v>0.46273165161558882</v>
      </c>
      <c r="P9" s="4">
        <v>0.45797405231534871</v>
      </c>
    </row>
    <row r="10" spans="1:16" x14ac:dyDescent="0.2">
      <c r="A10" s="2">
        <v>7</v>
      </c>
      <c r="B10" s="3" t="s">
        <v>17</v>
      </c>
      <c r="C10" s="3">
        <v>12</v>
      </c>
      <c r="D10" s="3" t="s">
        <v>18</v>
      </c>
      <c r="E10" s="3">
        <v>2</v>
      </c>
      <c r="F10" s="3" t="s">
        <v>18</v>
      </c>
      <c r="G10" s="3">
        <v>2</v>
      </c>
      <c r="H10" s="4">
        <v>0.41389505795522069</v>
      </c>
      <c r="I10" s="4">
        <v>0.40801405073560548</v>
      </c>
      <c r="J10" s="4">
        <v>0.40888639996116971</v>
      </c>
      <c r="K10" s="4">
        <v>0.39830772744979132</v>
      </c>
      <c r="L10" s="4">
        <v>0.40698712033934858</v>
      </c>
      <c r="M10" s="4">
        <v>0.42249214214850739</v>
      </c>
      <c r="N10" s="4">
        <v>0.40859688782411219</v>
      </c>
      <c r="O10" s="4">
        <v>0.41912685712512132</v>
      </c>
      <c r="P10" s="4">
        <v>0.41078828044235949</v>
      </c>
    </row>
    <row r="11" spans="1:16" x14ac:dyDescent="0.2">
      <c r="A11" s="2">
        <v>8</v>
      </c>
      <c r="B11" s="3" t="s">
        <v>18</v>
      </c>
      <c r="C11" s="3">
        <v>14</v>
      </c>
      <c r="D11" s="3" t="s">
        <v>18</v>
      </c>
      <c r="E11" s="3">
        <v>2</v>
      </c>
      <c r="F11" s="3" t="s">
        <v>18</v>
      </c>
      <c r="G11" s="3">
        <v>2</v>
      </c>
      <c r="H11" s="4">
        <v>0.42079732305127843</v>
      </c>
      <c r="I11" s="4">
        <v>0.40902540824525507</v>
      </c>
      <c r="J11" s="4">
        <v>0.39966716453659651</v>
      </c>
      <c r="K11" s="4">
        <v>0.41330244929712012</v>
      </c>
      <c r="L11" s="4">
        <v>0.40677295883260328</v>
      </c>
      <c r="M11" s="4">
        <v>0.40558898171195901</v>
      </c>
      <c r="N11" s="4">
        <v>0.40976216129716558</v>
      </c>
      <c r="O11" s="4">
        <v>0.40649733389769022</v>
      </c>
      <c r="P11" s="4">
        <v>0.40892672260870849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H17" sqref="H17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2.2161065937496981E-3</v>
      </c>
      <c r="C4" s="4">
        <v>-4.2498120742304218E-2</v>
      </c>
      <c r="D4" s="4">
        <v>-1.265956301074053E-3</v>
      </c>
      <c r="E4" s="4">
        <v>4.8998765293975649E-3</v>
      </c>
      <c r="F4" s="4">
        <v>-1.6827825928177051E-4</v>
      </c>
      <c r="G4" s="4">
        <v>4.9786892524673887E-4</v>
      </c>
      <c r="H4" s="4">
        <v>-4.5439767807811671E-5</v>
      </c>
    </row>
    <row r="5" spans="1:8" x14ac:dyDescent="0.2">
      <c r="A5" s="3">
        <v>2</v>
      </c>
      <c r="B5" s="4">
        <v>-1.00851528861795E-2</v>
      </c>
      <c r="C5" s="4">
        <v>-5.0305192969369222E-2</v>
      </c>
      <c r="D5" s="4">
        <v>-1.414443699490592E-3</v>
      </c>
      <c r="E5" s="4">
        <v>1.1517812313952189E-2</v>
      </c>
      <c r="F5" s="4">
        <v>-1.146073078574228E-4</v>
      </c>
      <c r="G5" s="4">
        <v>4.0932806218643703E-4</v>
      </c>
      <c r="H5" s="4">
        <v>-3.0669461026561212E-4</v>
      </c>
    </row>
    <row r="6" spans="1:8" x14ac:dyDescent="0.2">
      <c r="A6" s="3">
        <v>3</v>
      </c>
      <c r="B6" s="4">
        <v>8.5256609974051351E-3</v>
      </c>
      <c r="C6" s="4">
        <v>-5.1270546520464227E-2</v>
      </c>
      <c r="D6" s="4">
        <v>-1.291605453869651E-3</v>
      </c>
      <c r="E6" s="4">
        <v>-1.753436266853424E-2</v>
      </c>
      <c r="F6" s="4">
        <v>7.0910522325509651E-5</v>
      </c>
      <c r="G6" s="4">
        <v>5.6556699427699753E-4</v>
      </c>
      <c r="H6" s="4">
        <v>-2.8144427576960729E-4</v>
      </c>
    </row>
    <row r="7" spans="1:8" x14ac:dyDescent="0.2">
      <c r="A7" s="3">
        <v>4</v>
      </c>
      <c r="B7" s="4">
        <v>6.116067289907684E-3</v>
      </c>
      <c r="C7" s="4">
        <v>-5.2099072388542382E-2</v>
      </c>
      <c r="D7" s="4">
        <v>-1.408608131423614E-3</v>
      </c>
      <c r="E7" s="4">
        <v>9.2574182593376242E-3</v>
      </c>
      <c r="F7" s="4">
        <v>-3.2370315451676901E-4</v>
      </c>
      <c r="G7" s="4">
        <v>4.8121945155944762E-4</v>
      </c>
      <c r="H7" s="4">
        <v>-5.5060547399732318E-5</v>
      </c>
    </row>
    <row r="8" spans="1:8" x14ac:dyDescent="0.2">
      <c r="A8" s="3">
        <v>5</v>
      </c>
      <c r="B8" s="4">
        <v>5.3251907257993031E-3</v>
      </c>
      <c r="C8" s="4">
        <v>-5.06436908924046E-2</v>
      </c>
      <c r="D8" s="4">
        <v>-1.5884330447533399E-3</v>
      </c>
      <c r="E8" s="4">
        <v>-5.6566162987484042E-3</v>
      </c>
      <c r="F8" s="4">
        <v>3.1475827362499598E-4</v>
      </c>
      <c r="G8" s="4">
        <v>8.4840022060328479E-4</v>
      </c>
      <c r="H8" s="4">
        <v>-1.974942074212532E-4</v>
      </c>
    </row>
    <row r="9" spans="1:8" x14ac:dyDescent="0.2">
      <c r="A9" s="3">
        <v>6</v>
      </c>
      <c r="B9" s="4">
        <v>-5.9821867593230346E-3</v>
      </c>
      <c r="C9" s="4">
        <v>-3.8332719982035753E-2</v>
      </c>
      <c r="D9" s="4">
        <v>-1.0348238378364849E-3</v>
      </c>
      <c r="E9" s="4">
        <v>-1.082866113786486E-2</v>
      </c>
      <c r="F9" s="4">
        <v>-1.653493448486171E-4</v>
      </c>
      <c r="G9" s="4">
        <v>6.1264931259052968E-4</v>
      </c>
      <c r="H9" s="4">
        <v>7.3036805488133072E-5</v>
      </c>
    </row>
    <row r="10" spans="1:8" x14ac:dyDescent="0.2">
      <c r="A10" s="3">
        <v>7</v>
      </c>
      <c r="B10" s="4">
        <v>-3.4620718137562119E-3</v>
      </c>
      <c r="C10" s="4">
        <v>-5.0828649148253018E-2</v>
      </c>
      <c r="D10" s="4">
        <v>-1.072968071860025E-3</v>
      </c>
      <c r="E10" s="4">
        <v>5.2109560877429684E-3</v>
      </c>
      <c r="F10" s="4">
        <v>-5.2324744387852173E-4</v>
      </c>
      <c r="G10" s="4">
        <v>4.2567661663478468E-4</v>
      </c>
      <c r="H10" s="4">
        <v>-6.0363357054837863E-5</v>
      </c>
    </row>
    <row r="11" spans="1:8" x14ac:dyDescent="0.2">
      <c r="A11" s="3">
        <v>8</v>
      </c>
      <c r="B11" s="4">
        <v>3.9670377495910486E-3</v>
      </c>
      <c r="C11" s="4">
        <v>-4.0080463440672703E-2</v>
      </c>
      <c r="D11" s="4">
        <v>-1.4540855175402959E-3</v>
      </c>
      <c r="E11" s="4">
        <v>-1.672770218124876E-2</v>
      </c>
      <c r="F11" s="4">
        <v>1.9891152423094641E-4</v>
      </c>
      <c r="G11" s="4">
        <v>6.4161822402712676E-4</v>
      </c>
      <c r="H11" s="4">
        <v>-6.7770320004337248E-5</v>
      </c>
    </row>
    <row r="14" spans="1:8" x14ac:dyDescent="0.2">
      <c r="A14" s="10" t="s">
        <v>28</v>
      </c>
      <c r="B14" s="9"/>
      <c r="C14" s="9"/>
      <c r="D14" s="9"/>
      <c r="E14" s="9"/>
      <c r="F14" s="9"/>
      <c r="G14" s="9"/>
    </row>
    <row r="15" spans="1:8" x14ac:dyDescent="0.2">
      <c r="A15" s="1" t="s">
        <v>29</v>
      </c>
      <c r="B15" s="1" t="s">
        <v>30</v>
      </c>
      <c r="C15" s="1" t="s">
        <v>31</v>
      </c>
      <c r="D15" s="13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8.2758148714926448E-4</v>
      </c>
      <c r="C16" s="4">
        <v>6.5803064106544074E-3</v>
      </c>
      <c r="D16" s="4">
        <f>_xlfn.T.INV.2T(0.1/7,3)</f>
        <v>5.1376545051185385</v>
      </c>
      <c r="E16" s="4">
        <f>C16*D16/SQRT(4)</f>
        <v>1.6903670437879506E-2</v>
      </c>
      <c r="F16" s="4">
        <f>B16-E16</f>
        <v>-1.607608895073024E-2</v>
      </c>
      <c r="G16" s="14">
        <f>B16+E16</f>
        <v>1.7731251925028772E-2</v>
      </c>
      <c r="H16" s="15" t="s">
        <v>36</v>
      </c>
    </row>
    <row r="17" spans="1:8" ht="16" x14ac:dyDescent="0.2">
      <c r="A17" s="5" t="s">
        <v>22</v>
      </c>
      <c r="B17" s="4">
        <v>-4.7007307010505761E-2</v>
      </c>
      <c r="C17" s="4">
        <v>5.6866468127277116E-3</v>
      </c>
      <c r="D17" s="4">
        <f t="shared" ref="D17:D22" si="0">_xlfn.T.INV.2T(0.1/7,3)</f>
        <v>5.1376545051185385</v>
      </c>
      <c r="E17" s="4">
        <f t="shared" ref="E17:E22" si="1">C17*D17/SQRT(4)</f>
        <v>1.4608013308214252E-2</v>
      </c>
      <c r="F17" s="4">
        <f t="shared" ref="F17:F21" si="2">B17-E17</f>
        <v>-6.161532031872001E-2</v>
      </c>
      <c r="G17" s="14">
        <f t="shared" ref="G17:G22" si="3">B17+E17</f>
        <v>-3.2399293702291512E-2</v>
      </c>
      <c r="H17" s="16" t="s">
        <v>37</v>
      </c>
    </row>
    <row r="18" spans="1:8" ht="16" x14ac:dyDescent="0.2">
      <c r="A18" s="5" t="s">
        <v>23</v>
      </c>
      <c r="B18" s="4">
        <v>-1.3163655072310071E-3</v>
      </c>
      <c r="C18" s="4">
        <v>1.9002922752128741E-4</v>
      </c>
      <c r="D18" s="4">
        <f t="shared" si="0"/>
        <v>5.1376545051185385</v>
      </c>
      <c r="E18" s="4">
        <f t="shared" si="1"/>
        <v>4.8815225843946899E-4</v>
      </c>
      <c r="F18" s="4">
        <f t="shared" si="2"/>
        <v>-1.8045177656704761E-3</v>
      </c>
      <c r="G18" s="14">
        <f t="shared" si="3"/>
        <v>-8.282132487915381E-4</v>
      </c>
      <c r="H18" s="16" t="s">
        <v>37</v>
      </c>
    </row>
    <row r="19" spans="1:8" ht="28" x14ac:dyDescent="0.2">
      <c r="A19" s="5" t="s">
        <v>38</v>
      </c>
      <c r="B19" s="4">
        <v>-2.4826598869957411E-3</v>
      </c>
      <c r="C19" s="4">
        <v>1.169090580756625E-2</v>
      </c>
      <c r="D19" s="4">
        <f t="shared" si="0"/>
        <v>5.1376545051185385</v>
      </c>
      <c r="E19" s="4">
        <f t="shared" si="1"/>
        <v>3.0031917445579613E-2</v>
      </c>
      <c r="F19" s="4">
        <f t="shared" si="2"/>
        <v>-3.2514577332575352E-2</v>
      </c>
      <c r="G19" s="14">
        <f t="shared" si="3"/>
        <v>2.7549257558583871E-2</v>
      </c>
      <c r="H19" s="15" t="s">
        <v>36</v>
      </c>
    </row>
    <row r="20" spans="1:8" ht="28" x14ac:dyDescent="0.2">
      <c r="A20" s="5" t="s">
        <v>39</v>
      </c>
      <c r="B20" s="4">
        <v>-8.8825648775206142E-5</v>
      </c>
      <c r="C20" s="4">
        <v>2.746195637588382E-4</v>
      </c>
      <c r="D20" s="4">
        <f t="shared" si="0"/>
        <v>5.1376545051185385</v>
      </c>
      <c r="E20" s="4">
        <f>C20*D20/SQRT(4)</f>
        <v>7.054502194696414E-4</v>
      </c>
      <c r="F20" s="4">
        <f t="shared" si="2"/>
        <v>-7.9427586824484754E-4</v>
      </c>
      <c r="G20" s="17">
        <f>B20+E20</f>
        <v>6.1662457069443526E-4</v>
      </c>
      <c r="H20" s="15" t="s">
        <v>36</v>
      </c>
    </row>
    <row r="21" spans="1:8" ht="28" x14ac:dyDescent="0.2">
      <c r="A21" s="5" t="s">
        <v>40</v>
      </c>
      <c r="B21" s="4">
        <v>5.6029097589066837E-4</v>
      </c>
      <c r="C21" s="4">
        <v>1.4315323227173229E-4</v>
      </c>
      <c r="D21" s="4">
        <f t="shared" si="0"/>
        <v>5.1376545051185385</v>
      </c>
      <c r="E21" s="4">
        <f t="shared" si="1"/>
        <v>3.6773592435157299E-4</v>
      </c>
      <c r="F21" s="4">
        <f t="shared" si="2"/>
        <v>1.9255505153909538E-4</v>
      </c>
      <c r="G21" s="14">
        <f t="shared" si="3"/>
        <v>9.2802690024224141E-4</v>
      </c>
      <c r="H21" s="16" t="s">
        <v>37</v>
      </c>
    </row>
    <row r="22" spans="1:8" ht="28" x14ac:dyDescent="0.2">
      <c r="A22" s="5" t="s">
        <v>41</v>
      </c>
      <c r="B22" s="4">
        <v>-1.176537850293823E-4</v>
      </c>
      <c r="C22" s="4">
        <v>1.3104224167540139E-4</v>
      </c>
      <c r="D22" s="4">
        <f t="shared" si="0"/>
        <v>5.1376545051185385</v>
      </c>
      <c r="E22" s="4">
        <f t="shared" si="1"/>
        <v>3.3662488165222914E-4</v>
      </c>
      <c r="F22" s="4">
        <f>B22-E22</f>
        <v>-4.5427866668161141E-4</v>
      </c>
      <c r="G22" s="14">
        <f t="shared" si="3"/>
        <v>2.1897109662284684E-4</v>
      </c>
      <c r="H22" s="15" t="s">
        <v>36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0.43332540155288241</v>
      </c>
      <c r="C5" s="6">
        <v>12</v>
      </c>
      <c r="E5" s="3" t="s">
        <v>17</v>
      </c>
      <c r="F5" s="4">
        <v>0.45724284580170987</v>
      </c>
      <c r="G5" s="6">
        <v>1</v>
      </c>
      <c r="I5" s="3" t="s">
        <v>17</v>
      </c>
      <c r="J5" s="4">
        <v>0.43439737505007259</v>
      </c>
      <c r="K5" s="6">
        <v>1</v>
      </c>
    </row>
    <row r="6" spans="1:17" x14ac:dyDescent="0.2">
      <c r="A6" s="3" t="s">
        <v>18</v>
      </c>
      <c r="B6" s="4">
        <v>0.43415298304003169</v>
      </c>
      <c r="C6" s="6">
        <v>14</v>
      </c>
      <c r="E6" s="3" t="s">
        <v>18</v>
      </c>
      <c r="F6" s="4">
        <v>0.41023553879120422</v>
      </c>
      <c r="G6" s="6">
        <v>2</v>
      </c>
      <c r="I6" s="3" t="s">
        <v>18</v>
      </c>
      <c r="J6" s="4">
        <v>0.43308100954284162</v>
      </c>
      <c r="K6" s="6">
        <v>2</v>
      </c>
    </row>
    <row r="25" spans="1:8" ht="28" x14ac:dyDescent="0.2">
      <c r="A25" s="1" t="s">
        <v>49</v>
      </c>
    </row>
    <row r="27" spans="1:8" x14ac:dyDescent="0.2">
      <c r="A27" s="10" t="s">
        <v>50</v>
      </c>
      <c r="B27" s="11"/>
      <c r="C27" s="12"/>
      <c r="E27" s="10" t="s">
        <v>51</v>
      </c>
      <c r="F27" s="11"/>
      <c r="G27" s="12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12</v>
      </c>
      <c r="B29" s="4">
        <v>0.45654046742432541</v>
      </c>
      <c r="C29" s="4">
        <v>0.41133787553989531</v>
      </c>
      <c r="E29" s="3">
        <v>12</v>
      </c>
      <c r="F29" s="4">
        <v>0.45463498280494952</v>
      </c>
      <c r="G29" s="4">
        <v>0.41078828044235949</v>
      </c>
    </row>
    <row r="30" spans="1:8" x14ac:dyDescent="0.2">
      <c r="A30" s="3">
        <v>14</v>
      </c>
      <c r="B30" s="4">
        <v>0.45982188066221619</v>
      </c>
      <c r="C30" s="4">
        <v>0.40988927657385338</v>
      </c>
      <c r="E30" s="3">
        <v>14</v>
      </c>
      <c r="F30" s="4">
        <v>0.45797405231534871</v>
      </c>
      <c r="G30" s="4">
        <v>0.40892672260870849</v>
      </c>
    </row>
    <row r="52" spans="1:8" x14ac:dyDescent="0.2">
      <c r="A52" s="10" t="s">
        <v>55</v>
      </c>
      <c r="B52" s="11"/>
      <c r="C52" s="12"/>
      <c r="E52" s="10" t="s">
        <v>56</v>
      </c>
      <c r="F52" s="11"/>
      <c r="G52" s="12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12</v>
      </c>
      <c r="B54" s="4">
        <v>0.45654046742432541</v>
      </c>
      <c r="C54" s="4">
        <v>0.45463498280494952</v>
      </c>
      <c r="E54" s="3">
        <v>12</v>
      </c>
      <c r="F54" s="4">
        <v>0.41133787553989531</v>
      </c>
      <c r="G54" s="4">
        <v>0.41078828044235949</v>
      </c>
    </row>
    <row r="55" spans="1:8" x14ac:dyDescent="0.2">
      <c r="A55" s="3">
        <v>14</v>
      </c>
      <c r="B55" s="4">
        <v>0.45982188066221619</v>
      </c>
      <c r="C55" s="4">
        <v>0.45797405231534871</v>
      </c>
      <c r="E55" s="3">
        <v>14</v>
      </c>
      <c r="F55" s="4">
        <v>0.40988927657385338</v>
      </c>
      <c r="G55" s="4">
        <v>0.40892672260870849</v>
      </c>
    </row>
    <row r="77" spans="1:8" x14ac:dyDescent="0.2">
      <c r="A77" s="10" t="s">
        <v>60</v>
      </c>
      <c r="B77" s="11"/>
      <c r="C77" s="12"/>
      <c r="E77" s="10" t="s">
        <v>61</v>
      </c>
      <c r="F77" s="11"/>
      <c r="G77" s="12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0.45654046742432541</v>
      </c>
      <c r="C79" s="4">
        <v>0.45463498280494952</v>
      </c>
      <c r="E79" s="3">
        <v>1</v>
      </c>
      <c r="F79" s="4">
        <v>0.45982188066221619</v>
      </c>
      <c r="G79" s="4">
        <v>0.45797405231534871</v>
      </c>
    </row>
    <row r="80" spans="1:8" x14ac:dyDescent="0.2">
      <c r="A80" s="3">
        <v>2</v>
      </c>
      <c r="B80" s="4">
        <v>0.41133787553989531</v>
      </c>
      <c r="C80" s="4">
        <v>0.41078828044235949</v>
      </c>
      <c r="E80" s="3">
        <v>2</v>
      </c>
      <c r="F80" s="4">
        <v>0.40988927657385338</v>
      </c>
      <c r="G80" s="4">
        <v>0.40892672260870849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2026-05-06T15:55:15Z</dcterms:created>
  <dcterms:modified xsi:type="dcterms:W3CDTF">2026-05-06T16:00:19Z</dcterms:modified>
</cp:coreProperties>
</file>