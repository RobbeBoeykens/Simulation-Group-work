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Big Assignment/Excel Files/"/>
    </mc:Choice>
  </mc:AlternateContent>
  <xr:revisionPtr revIDLastSave="0" documentId="13_ncr:1_{EEA074BC-06EE-C94E-A2E6-9C09D1886A15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Screening design" sheetId="1" r:id="rId1"/>
    <sheet name="Screening effects" sheetId="2" r:id="rId2"/>
    <sheet name="Screening plots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2" i="2" l="1"/>
  <c r="E22" i="2" s="1"/>
  <c r="D21" i="2"/>
  <c r="E21" i="2" s="1"/>
  <c r="D20" i="2"/>
  <c r="E20" i="2" s="1"/>
  <c r="D19" i="2"/>
  <c r="E19" i="2" s="1"/>
  <c r="D18" i="2"/>
  <c r="E18" i="2" s="1"/>
  <c r="D17" i="2"/>
  <c r="E17" i="2" s="1"/>
  <c r="D16" i="2"/>
  <c r="E16" i="2" s="1"/>
  <c r="G20" i="2" l="1"/>
  <c r="F20" i="2"/>
  <c r="G17" i="2"/>
  <c r="F17" i="2"/>
  <c r="G19" i="2"/>
  <c r="F19" i="2"/>
  <c r="G21" i="2"/>
  <c r="F21" i="2"/>
  <c r="G16" i="2"/>
  <c r="F16" i="2"/>
  <c r="G18" i="2"/>
  <c r="F18" i="2"/>
  <c r="G22" i="2"/>
  <c r="F22" i="2"/>
</calcChain>
</file>

<file path=xl/sharedStrings.xml><?xml version="1.0" encoding="utf-8"?>
<sst xmlns="http://schemas.openxmlformats.org/spreadsheetml/2006/main" count="123" uniqueCount="66">
  <si>
    <t>2^3 Screening Design: Factor Levels and Objective Values</t>
  </si>
  <si>
    <t>Design point</t>
  </si>
  <si>
    <t>F1 urgent sign</t>
  </si>
  <si>
    <t>F1 urgent value</t>
  </si>
  <si>
    <t>F2 strategy sign</t>
  </si>
  <si>
    <t>F2 strategy value</t>
  </si>
  <si>
    <t>F3 rule sign</t>
  </si>
  <si>
    <t>F3 rule value</t>
  </si>
  <si>
    <t>Batch 1</t>
  </si>
  <si>
    <t>Batch 2</t>
  </si>
  <si>
    <t>Batch 3</t>
  </si>
  <si>
    <t>Batch 4</t>
  </si>
  <si>
    <t>Batch 5</t>
  </si>
  <si>
    <t>Batch 6</t>
  </si>
  <si>
    <t>Batch 7</t>
  </si>
  <si>
    <t>Batch 8</t>
  </si>
  <si>
    <t>Average</t>
  </si>
  <si>
    <t>-</t>
  </si>
  <si>
    <t>+</t>
  </si>
  <si>
    <t>Main and Interaction Effects per Batch</t>
  </si>
  <si>
    <t>Batch</t>
  </si>
  <si>
    <t>e1 urgent slots</t>
  </si>
  <si>
    <t>e2 strategy</t>
  </si>
  <si>
    <t>e3 rule</t>
  </si>
  <si>
    <t>e12 urgent×strategy</t>
  </si>
  <si>
    <t>e13 urgent×rule</t>
  </si>
  <si>
    <t>e23 strategy×rule</t>
  </si>
  <si>
    <t>e123</t>
  </si>
  <si>
    <t>95% Confidence Intervals for Effects</t>
  </si>
  <si>
    <t>Effect</t>
  </si>
  <si>
    <t>Mean</t>
  </si>
  <si>
    <t>Std</t>
  </si>
  <si>
    <t>95% CI half-width</t>
  </si>
  <si>
    <t>CI lower</t>
  </si>
  <si>
    <t>CI upper</t>
  </si>
  <si>
    <t>Significant?</t>
  </si>
  <si>
    <t>YES</t>
  </si>
  <si>
    <t>e12 urgent × strategy</t>
  </si>
  <si>
    <t>NO</t>
  </si>
  <si>
    <t>e13 urgent × rule</t>
  </si>
  <si>
    <t>e23 strategy × rule</t>
  </si>
  <si>
    <t>e123 three-way</t>
  </si>
  <si>
    <t>Screening Design Graphs: Main Effects and Interaction Effects</t>
  </si>
  <si>
    <t>MAIN EFFECTS</t>
  </si>
  <si>
    <t>Level</t>
  </si>
  <si>
    <t>OV</t>
  </si>
  <si>
    <t>urgent slots</t>
  </si>
  <si>
    <t>strategy</t>
  </si>
  <si>
    <t>rule</t>
  </si>
  <si>
    <t>INTERACTION EFFECTS</t>
  </si>
  <si>
    <t>Interaction urgent slots × strategy | rule = - (1)</t>
  </si>
  <si>
    <t>Interaction urgent slots × strategy | rule = + (2)</t>
  </si>
  <si>
    <t>strategy -</t>
  </si>
  <si>
    <t>strategy +</t>
  </si>
  <si>
    <t>fixed rule</t>
  </si>
  <si>
    <t>Interaction urgent slots × rule | strategy = - (1)</t>
  </si>
  <si>
    <t>Interaction urgent slots × rule | strategy = + (2)</t>
  </si>
  <si>
    <t>rule -</t>
  </si>
  <si>
    <t>rule +</t>
  </si>
  <si>
    <t>fixed strategy</t>
  </si>
  <si>
    <t>Interaction strategy × rule | urgent slots = - (12)</t>
  </si>
  <si>
    <t>Interaction strategy × rule | urgent slots = + (15)</t>
  </si>
  <si>
    <t>fixed urgent slots</t>
  </si>
  <si>
    <t>THREE-WAY INTERACTION</t>
  </si>
  <si>
    <t>3-way interaction is interpreted by comparing the two 2-way interaction plots above. If the interaction pattern changes when the third factor switches from '-' to '+', a 3-way interaction is present.</t>
  </si>
  <si>
    <t>T-SCORE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</si>
</sst>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00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 wrapText="1"/>
    </xf>
    <xf numFmtId="164" fontId="0" fillId="0" borderId="0" xfId="0" applyNumberFormat="1"/>
    <xf numFmtId="0" fontId="7" fillId="5" borderId="0" xfId="2"/>
    <xf numFmtId="0" fontId="6" fillId="4" borderId="0" xfId="1"/>
    <xf numFmtId="165" fontId="0" fillId="0" borderId="0" xfId="0" applyNumberFormat="1"/>
  </cellXfs>
  <cellStyles count="3">
    <cellStyle name="Goed" xfId="1" builtinId="26"/>
    <cellStyle name="Ongeldig" xfId="2" builtinId="27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urgent slots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plots'!$C$5:$C$6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plots'!$B$5:$B$6</c:f>
              <c:numCache>
                <c:formatCode>#,##0.00000</c:formatCode>
                <c:ptCount val="2"/>
                <c:pt idx="0">
                  <c:v>0.43332540155288241</c:v>
                </c:pt>
                <c:pt idx="1">
                  <c:v>0.44925840569188857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F9-B94E-A049-7E3D9BCE7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strategy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plots'!$G$5:$G$6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plots'!$F$5:$F$6</c:f>
              <c:numCache>
                <c:formatCode>#,##0.00000</c:formatCode>
                <c:ptCount val="2"/>
                <c:pt idx="0">
                  <c:v>0.46625117334529592</c:v>
                </c:pt>
                <c:pt idx="1">
                  <c:v>0.41633263389947522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2E-1347-BFF8-CC32739B0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rule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plots'!$J$4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plots'!$K$5:$K$6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plots'!$J$5:$J$6</c:f>
              <c:numCache>
                <c:formatCode>#,##0.00000</c:formatCode>
                <c:ptCount val="2"/>
                <c:pt idx="0">
                  <c:v>0.44194198415996472</c:v>
                </c:pt>
                <c:pt idx="1">
                  <c:v>0.44064182308480643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B4-F24C-AD4B-2F63F1DA3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plots'!$B$29:$B$30</c:f>
              <c:numCache>
                <c:formatCode>#,##0.00000</c:formatCode>
                <c:ptCount val="2"/>
                <c:pt idx="0">
                  <c:v>0.45654046742432541</c:v>
                </c:pt>
                <c:pt idx="1">
                  <c:v>0.47778332791130212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5E-6140-8523-80384D24F5E3}"/>
            </c:ext>
          </c:extLst>
        </c:ser>
        <c:ser>
          <c:idx val="1"/>
          <c:order val="1"/>
          <c:tx>
            <c:strRef>
              <c:f>'Screening plots'!$C$28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plots'!$C$29:$C$30</c:f>
              <c:numCache>
                <c:formatCode>#,##0.00000</c:formatCode>
                <c:ptCount val="2"/>
                <c:pt idx="0">
                  <c:v>0.41133787553989531</c:v>
                </c:pt>
                <c:pt idx="1">
                  <c:v>0.42210626576433569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5E-6140-8523-80384D24F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plots'!$F$29:$F$30</c:f>
              <c:numCache>
                <c:formatCode>#,##0.00000</c:formatCode>
                <c:ptCount val="2"/>
                <c:pt idx="0">
                  <c:v>0.45463498280494952</c:v>
                </c:pt>
                <c:pt idx="1">
                  <c:v>0.47604591524060658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58-8044-897E-86499FAF02CF}"/>
            </c:ext>
          </c:extLst>
        </c:ser>
        <c:ser>
          <c:idx val="1"/>
          <c:order val="1"/>
          <c:tx>
            <c:strRef>
              <c:f>'Screening plots'!$G$28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plots'!$G$29:$G$30</c:f>
              <c:numCache>
                <c:formatCode>#,##0.00000</c:formatCode>
                <c:ptCount val="2"/>
                <c:pt idx="0">
                  <c:v>0.41078828044235949</c:v>
                </c:pt>
                <c:pt idx="1">
                  <c:v>0.42109811385131007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858-8044-897E-86499FAF0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plots'!$B$54:$B$55</c:f>
              <c:numCache>
                <c:formatCode>#,##0.00000</c:formatCode>
                <c:ptCount val="2"/>
                <c:pt idx="0">
                  <c:v>0.45654046742432541</c:v>
                </c:pt>
                <c:pt idx="1">
                  <c:v>0.47778332791130212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23-C744-89F9-9A5645D9D508}"/>
            </c:ext>
          </c:extLst>
        </c:ser>
        <c:ser>
          <c:idx val="1"/>
          <c:order val="1"/>
          <c:tx>
            <c:strRef>
              <c:f>'Screening plots'!$C$53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plots'!$C$54:$C$55</c:f>
              <c:numCache>
                <c:formatCode>#,##0.00000</c:formatCode>
                <c:ptCount val="2"/>
                <c:pt idx="0">
                  <c:v>0.45463498280494952</c:v>
                </c:pt>
                <c:pt idx="1">
                  <c:v>0.47604591524060658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923-C744-89F9-9A5645D9D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plots'!$F$54:$F$55</c:f>
              <c:numCache>
                <c:formatCode>#,##0.00000</c:formatCode>
                <c:ptCount val="2"/>
                <c:pt idx="0">
                  <c:v>0.41133787553989531</c:v>
                </c:pt>
                <c:pt idx="1">
                  <c:v>0.42210626576433569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39-2E49-A84D-D275D339ACC8}"/>
            </c:ext>
          </c:extLst>
        </c:ser>
        <c:ser>
          <c:idx val="1"/>
          <c:order val="1"/>
          <c:tx>
            <c:strRef>
              <c:f>'Screening plots'!$G$53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plots'!$G$54:$G$55</c:f>
              <c:numCache>
                <c:formatCode>#,##0.00000</c:formatCode>
                <c:ptCount val="2"/>
                <c:pt idx="0">
                  <c:v>0.41078828044235949</c:v>
                </c:pt>
                <c:pt idx="1">
                  <c:v>0.42109811385131007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739-2E49-A84D-D275D339A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plots'!$B$79:$B$80</c:f>
              <c:numCache>
                <c:formatCode>#,##0.00000</c:formatCode>
                <c:ptCount val="2"/>
                <c:pt idx="0">
                  <c:v>0.45654046742432541</c:v>
                </c:pt>
                <c:pt idx="1">
                  <c:v>0.41133787553989531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04-1B4F-A7DF-02823318B75C}"/>
            </c:ext>
          </c:extLst>
        </c:ser>
        <c:ser>
          <c:idx val="1"/>
          <c:order val="1"/>
          <c:tx>
            <c:strRef>
              <c:f>'Screening plots'!$C$78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plots'!$C$79:$C$80</c:f>
              <c:numCache>
                <c:formatCode>#,##0.00000</c:formatCode>
                <c:ptCount val="2"/>
                <c:pt idx="0">
                  <c:v>0.45463498280494952</c:v>
                </c:pt>
                <c:pt idx="1">
                  <c:v>0.41078828044235949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E04-1B4F-A7DF-02823318B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plots'!$F$79:$F$80</c:f>
              <c:numCache>
                <c:formatCode>#,##0.00000</c:formatCode>
                <c:ptCount val="2"/>
                <c:pt idx="0">
                  <c:v>0.47778332791130212</c:v>
                </c:pt>
                <c:pt idx="1">
                  <c:v>0.42210626576433569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C2-C145-8CE3-37152C46E154}"/>
            </c:ext>
          </c:extLst>
        </c:ser>
        <c:ser>
          <c:idx val="1"/>
          <c:order val="1"/>
          <c:tx>
            <c:strRef>
              <c:f>'Screening plots'!$G$78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plots'!$G$79:$G$80</c:f>
              <c:numCache>
                <c:formatCode>#,##0.00000</c:formatCode>
                <c:ptCount val="2"/>
                <c:pt idx="0">
                  <c:v>0.47604591524060658</c:v>
                </c:pt>
                <c:pt idx="1">
                  <c:v>0.42109811385131007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C2-C145-8CE3-37152C46E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2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7</xdr:row>
      <xdr:rowOff>0</xdr:rowOff>
    </xdr:from>
    <xdr:ext cx="52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522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22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32</xdr:row>
      <xdr:rowOff>0</xdr:rowOff>
    </xdr:from>
    <xdr:ext cx="522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5220000" cy="30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</xdr:col>
      <xdr:colOff>0</xdr:colOff>
      <xdr:row>57</xdr:row>
      <xdr:rowOff>0</xdr:rowOff>
    </xdr:from>
    <xdr:ext cx="5220000" cy="30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82</xdr:row>
      <xdr:rowOff>0</xdr:rowOff>
    </xdr:from>
    <xdr:ext cx="5220000" cy="30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</xdr:col>
      <xdr:colOff>0</xdr:colOff>
      <xdr:row>82</xdr:row>
      <xdr:rowOff>0</xdr:rowOff>
    </xdr:from>
    <xdr:ext cx="5220000" cy="30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workbookViewId="0">
      <pane ySplit="3" topLeftCell="A4" activePane="bottomLeft" state="frozen"/>
      <selection pane="bottomLeft" sqref="A1:P1"/>
    </sheetView>
  </sheetViews>
  <sheetFormatPr baseColWidth="10" defaultColWidth="8.83203125" defaultRowHeight="15" x14ac:dyDescent="0.2"/>
  <cols>
    <col min="1" max="1" width="14" customWidth="1"/>
    <col min="2" max="4" width="16" customWidth="1"/>
    <col min="5" max="15" width="14" customWidth="1"/>
    <col min="16" max="16" width="16" customWidth="1"/>
  </cols>
  <sheetData>
    <row r="1" spans="1:16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1:16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2">
      <c r="A4" s="2">
        <v>1</v>
      </c>
      <c r="B4" s="3" t="s">
        <v>17</v>
      </c>
      <c r="C4" s="3">
        <v>12</v>
      </c>
      <c r="D4" s="3" t="s">
        <v>17</v>
      </c>
      <c r="E4" s="3">
        <v>1</v>
      </c>
      <c r="F4" s="3" t="s">
        <v>17</v>
      </c>
      <c r="G4" s="3">
        <v>1</v>
      </c>
      <c r="H4" s="4">
        <v>0.46239073326871483</v>
      </c>
      <c r="I4" s="4">
        <v>0.47113689241056012</v>
      </c>
      <c r="J4" s="4">
        <v>0.44398509978929479</v>
      </c>
      <c r="K4" s="4">
        <v>0.4607491230745781</v>
      </c>
      <c r="L4" s="4">
        <v>0.45387738625138319</v>
      </c>
      <c r="M4" s="4">
        <v>0.4508656754856662</v>
      </c>
      <c r="N4" s="4">
        <v>0.4651862136880896</v>
      </c>
      <c r="O4" s="4">
        <v>0.44413261542631649</v>
      </c>
      <c r="P4" s="4">
        <v>0.45654046742432541</v>
      </c>
    </row>
    <row r="5" spans="1:16" x14ac:dyDescent="0.2">
      <c r="A5" s="2">
        <v>2</v>
      </c>
      <c r="B5" s="3" t="s">
        <v>18</v>
      </c>
      <c r="C5" s="3">
        <v>15</v>
      </c>
      <c r="D5" s="3" t="s">
        <v>17</v>
      </c>
      <c r="E5" s="3">
        <v>1</v>
      </c>
      <c r="F5" s="3" t="s">
        <v>17</v>
      </c>
      <c r="G5" s="3">
        <v>1</v>
      </c>
      <c r="H5" s="4">
        <v>0.4851495241356889</v>
      </c>
      <c r="I5" s="4">
        <v>0.46901825727877239</v>
      </c>
      <c r="J5" s="4">
        <v>0.49225581047844152</v>
      </c>
      <c r="K5" s="4">
        <v>0.46395157670223208</v>
      </c>
      <c r="L5" s="4">
        <v>0.47666658693877167</v>
      </c>
      <c r="M5" s="4">
        <v>0.46396732067248347</v>
      </c>
      <c r="N5" s="4">
        <v>0.47857117828555062</v>
      </c>
      <c r="O5" s="4">
        <v>0.49268636879847599</v>
      </c>
      <c r="P5" s="4">
        <v>0.47778332791130212</v>
      </c>
    </row>
    <row r="6" spans="1:16" x14ac:dyDescent="0.2">
      <c r="A6" s="2">
        <v>3</v>
      </c>
      <c r="B6" s="3" t="s">
        <v>17</v>
      </c>
      <c r="C6" s="3">
        <v>12</v>
      </c>
      <c r="D6" s="3" t="s">
        <v>18</v>
      </c>
      <c r="E6" s="3">
        <v>2</v>
      </c>
      <c r="F6" s="3" t="s">
        <v>17</v>
      </c>
      <c r="G6" s="3">
        <v>1</v>
      </c>
      <c r="H6" s="4">
        <v>0.41444942730395851</v>
      </c>
      <c r="I6" s="4">
        <v>0.40859786445478657</v>
      </c>
      <c r="J6" s="4">
        <v>0.40940190466731818</v>
      </c>
      <c r="K6" s="4">
        <v>0.39885635242773892</v>
      </c>
      <c r="L6" s="4">
        <v>0.40784441722970238</v>
      </c>
      <c r="M6" s="4">
        <v>0.42282200413439291</v>
      </c>
      <c r="N6" s="4">
        <v>0.40866056847840398</v>
      </c>
      <c r="O6" s="4">
        <v>0.4200704656228611</v>
      </c>
      <c r="P6" s="4">
        <v>0.41133787553989531</v>
      </c>
    </row>
    <row r="7" spans="1:16" x14ac:dyDescent="0.2">
      <c r="A7" s="2">
        <v>4</v>
      </c>
      <c r="B7" s="3" t="s">
        <v>18</v>
      </c>
      <c r="C7" s="3">
        <v>15</v>
      </c>
      <c r="D7" s="3" t="s">
        <v>18</v>
      </c>
      <c r="E7" s="3">
        <v>2</v>
      </c>
      <c r="F7" s="3" t="s">
        <v>17</v>
      </c>
      <c r="G7" s="3">
        <v>1</v>
      </c>
      <c r="H7" s="4">
        <v>0.4214138246903858</v>
      </c>
      <c r="I7" s="4">
        <v>0.43890070144311738</v>
      </c>
      <c r="J7" s="4">
        <v>0.41857886393605082</v>
      </c>
      <c r="K7" s="4">
        <v>0.42574981950704383</v>
      </c>
      <c r="L7" s="4">
        <v>0.4231385594268664</v>
      </c>
      <c r="M7" s="4">
        <v>0.43747452186964703</v>
      </c>
      <c r="N7" s="4">
        <v>0.39513874852039288</v>
      </c>
      <c r="O7" s="4">
        <v>0.41645508672118142</v>
      </c>
      <c r="P7" s="4">
        <v>0.42210626576433569</v>
      </c>
    </row>
    <row r="8" spans="1:16" x14ac:dyDescent="0.2">
      <c r="A8" s="2">
        <v>5</v>
      </c>
      <c r="B8" s="3" t="s">
        <v>17</v>
      </c>
      <c r="C8" s="3">
        <v>12</v>
      </c>
      <c r="D8" s="3" t="s">
        <v>17</v>
      </c>
      <c r="E8" s="3">
        <v>1</v>
      </c>
      <c r="F8" s="3" t="s">
        <v>18</v>
      </c>
      <c r="G8" s="3">
        <v>2</v>
      </c>
      <c r="H8" s="4">
        <v>0.46074974653386791</v>
      </c>
      <c r="I8" s="4">
        <v>0.46912103334647481</v>
      </c>
      <c r="J8" s="4">
        <v>0.441775572543053</v>
      </c>
      <c r="K8" s="4">
        <v>0.45912793809871211</v>
      </c>
      <c r="L8" s="4">
        <v>0.45092830050498028</v>
      </c>
      <c r="M8" s="4">
        <v>0.4494565884855759</v>
      </c>
      <c r="N8" s="4">
        <v>0.46415045308641861</v>
      </c>
      <c r="O8" s="4">
        <v>0.44177022984051367</v>
      </c>
      <c r="P8" s="4">
        <v>0.45463498280494952</v>
      </c>
    </row>
    <row r="9" spans="1:16" x14ac:dyDescent="0.2">
      <c r="A9" s="2">
        <v>6</v>
      </c>
      <c r="B9" s="3" t="s">
        <v>18</v>
      </c>
      <c r="C9" s="3">
        <v>15</v>
      </c>
      <c r="D9" s="3" t="s">
        <v>17</v>
      </c>
      <c r="E9" s="3">
        <v>1</v>
      </c>
      <c r="F9" s="3" t="s">
        <v>18</v>
      </c>
      <c r="G9" s="3">
        <v>2</v>
      </c>
      <c r="H9" s="4">
        <v>0.48342305597013718</v>
      </c>
      <c r="I9" s="4">
        <v>0.46722984686939573</v>
      </c>
      <c r="J9" s="4">
        <v>0.49093383358517639</v>
      </c>
      <c r="K9" s="4">
        <v>0.46174793513205009</v>
      </c>
      <c r="L9" s="4">
        <v>0.47512950403444631</v>
      </c>
      <c r="M9" s="4">
        <v>0.46200457600835992</v>
      </c>
      <c r="N9" s="4">
        <v>0.47657496556585471</v>
      </c>
      <c r="O9" s="4">
        <v>0.49132360475943271</v>
      </c>
      <c r="P9" s="4">
        <v>0.47604591524060658</v>
      </c>
    </row>
    <row r="10" spans="1:16" x14ac:dyDescent="0.2">
      <c r="A10" s="2">
        <v>7</v>
      </c>
      <c r="B10" s="3" t="s">
        <v>17</v>
      </c>
      <c r="C10" s="3">
        <v>12</v>
      </c>
      <c r="D10" s="3" t="s">
        <v>18</v>
      </c>
      <c r="E10" s="3">
        <v>2</v>
      </c>
      <c r="F10" s="3" t="s">
        <v>18</v>
      </c>
      <c r="G10" s="3">
        <v>2</v>
      </c>
      <c r="H10" s="4">
        <v>0.41389505795522069</v>
      </c>
      <c r="I10" s="4">
        <v>0.40801405073560548</v>
      </c>
      <c r="J10" s="4">
        <v>0.40888639996116971</v>
      </c>
      <c r="K10" s="4">
        <v>0.39830772744979132</v>
      </c>
      <c r="L10" s="4">
        <v>0.40698712033934858</v>
      </c>
      <c r="M10" s="4">
        <v>0.42249214214850739</v>
      </c>
      <c r="N10" s="4">
        <v>0.40859688782411219</v>
      </c>
      <c r="O10" s="4">
        <v>0.41912685712512132</v>
      </c>
      <c r="P10" s="4">
        <v>0.41078828044235949</v>
      </c>
    </row>
    <row r="11" spans="1:16" x14ac:dyDescent="0.2">
      <c r="A11" s="2">
        <v>8</v>
      </c>
      <c r="B11" s="3" t="s">
        <v>18</v>
      </c>
      <c r="C11" s="3">
        <v>15</v>
      </c>
      <c r="D11" s="3" t="s">
        <v>18</v>
      </c>
      <c r="E11" s="3">
        <v>2</v>
      </c>
      <c r="F11" s="3" t="s">
        <v>18</v>
      </c>
      <c r="G11" s="3">
        <v>2</v>
      </c>
      <c r="H11" s="4">
        <v>0.42050273344800859</v>
      </c>
      <c r="I11" s="4">
        <v>0.43769346867431658</v>
      </c>
      <c r="J11" s="4">
        <v>0.41810590195407737</v>
      </c>
      <c r="K11" s="4">
        <v>0.42484857130333697</v>
      </c>
      <c r="L11" s="4">
        <v>0.42205245186531992</v>
      </c>
      <c r="M11" s="4">
        <v>0.43643349764697259</v>
      </c>
      <c r="N11" s="4">
        <v>0.39438757309375932</v>
      </c>
      <c r="O11" s="4">
        <v>0.41476071282468918</v>
      </c>
      <c r="P11" s="4">
        <v>0.42109811385131007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workbookViewId="0">
      <pane ySplit="3" topLeftCell="A4" activePane="bottomLeft" state="frozen"/>
      <selection pane="bottomLeft" activeCell="D15" sqref="D15:H22"/>
    </sheetView>
  </sheetViews>
  <sheetFormatPr baseColWidth="10" defaultColWidth="8.83203125" defaultRowHeight="15" x14ac:dyDescent="0.2"/>
  <cols>
    <col min="1" max="1" width="12" customWidth="1"/>
    <col min="2" max="4" width="18" customWidth="1"/>
    <col min="5" max="8" width="22" customWidth="1"/>
  </cols>
  <sheetData>
    <row r="1" spans="1:8" x14ac:dyDescent="0.2">
      <c r="A1" s="8" t="s">
        <v>19</v>
      </c>
      <c r="B1" s="9"/>
      <c r="C1" s="9"/>
      <c r="D1" s="9"/>
      <c r="E1" s="9"/>
      <c r="F1" s="9"/>
      <c r="G1" s="9"/>
      <c r="H1" s="9"/>
    </row>
    <row r="3" spans="1:8" x14ac:dyDescent="0.2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</row>
    <row r="4" spans="1:8" x14ac:dyDescent="0.2">
      <c r="A4" s="3">
        <v>1</v>
      </c>
      <c r="B4" s="4">
        <v>1.475104329561468E-2</v>
      </c>
      <c r="C4" s="4">
        <v>-5.536300412770874E-2</v>
      </c>
      <c r="D4" s="4">
        <v>-1.2082288728783861E-3</v>
      </c>
      <c r="E4" s="4">
        <v>-7.9650068560070258E-3</v>
      </c>
      <c r="F4" s="4">
        <v>-1.1055083108606199E-4</v>
      </c>
      <c r="G4" s="4">
        <v>4.7549857732090422E-4</v>
      </c>
      <c r="H4" s="4">
        <v>-6.7810115733632492E-5</v>
      </c>
    </row>
    <row r="5" spans="1:8" x14ac:dyDescent="0.2">
      <c r="A5" s="3">
        <v>2</v>
      </c>
      <c r="B5" s="4">
        <v>1.3993108329543801E-2</v>
      </c>
      <c r="C5" s="4">
        <v>-4.582498614934423E-2</v>
      </c>
      <c r="D5" s="4">
        <v>-1.398828990360992E-3</v>
      </c>
      <c r="E5" s="4">
        <v>1.5998019133977161E-2</v>
      </c>
      <c r="F5" s="4">
        <v>-9.8992598727795644E-5</v>
      </c>
      <c r="G5" s="4">
        <v>5.0330574637007242E-4</v>
      </c>
      <c r="H5" s="4">
        <v>-2.1271692608203219E-4</v>
      </c>
    </row>
    <row r="6" spans="1:8" x14ac:dyDescent="0.2">
      <c r="A6" s="3">
        <v>3</v>
      </c>
      <c r="B6" s="4">
        <v>2.895635824822762E-2</v>
      </c>
      <c r="C6" s="4">
        <v>-5.3494311469337398E-2</v>
      </c>
      <c r="D6" s="4">
        <v>-1.129992706907224E-3</v>
      </c>
      <c r="E6" s="4">
        <v>-1.9758127617407441E-2</v>
      </c>
      <c r="F6" s="4">
        <v>2.325232692879653E-4</v>
      </c>
      <c r="G6" s="4">
        <v>6.3575936284621104E-4</v>
      </c>
      <c r="H6" s="4">
        <v>-2.1125190720036599E-4</v>
      </c>
    </row>
    <row r="7" spans="1:8" x14ac:dyDescent="0.2">
      <c r="A7" s="3">
        <v>4</v>
      </c>
      <c r="B7" s="4">
        <v>1.481419039846066E-2</v>
      </c>
      <c r="C7" s="4">
        <v>-4.9453525579915392E-2</v>
      </c>
      <c r="D7" s="4">
        <v>-1.3186749319256119E-3</v>
      </c>
      <c r="E7" s="4">
        <v>1.190296506796462E-2</v>
      </c>
      <c r="F7" s="4">
        <v>-2.3376995501878109E-4</v>
      </c>
      <c r="G7" s="4">
        <v>5.9373834109838208E-4</v>
      </c>
      <c r="H7" s="4">
        <v>5.7458342139216079E-5</v>
      </c>
    </row>
    <row r="8" spans="1:8" x14ac:dyDescent="0.2">
      <c r="A8" s="3">
        <v>5</v>
      </c>
      <c r="B8" s="4">
        <v>1.9337469484997451E-2</v>
      </c>
      <c r="C8" s="4">
        <v>-4.9144807217085973E-2</v>
      </c>
      <c r="D8" s="4">
        <v>-1.6073932756571351E-3</v>
      </c>
      <c r="E8" s="4">
        <v>-4.1577326234298051E-3</v>
      </c>
      <c r="F8" s="4">
        <v>2.9579804272120152E-4</v>
      </c>
      <c r="G8" s="4">
        <v>6.3569104970699619E-4</v>
      </c>
      <c r="H8" s="4">
        <v>-4.1020337831756959E-4</v>
      </c>
    </row>
    <row r="9" spans="1:8" x14ac:dyDescent="0.2">
      <c r="A9" s="3">
        <v>6</v>
      </c>
      <c r="B9" s="4">
        <v>1.356087648583015E-2</v>
      </c>
      <c r="C9" s="4">
        <v>-2.6767998713141391E-2</v>
      </c>
      <c r="D9" s="4">
        <v>-1.185679468193479E-3</v>
      </c>
      <c r="E9" s="4">
        <v>7.3606013102950341E-4</v>
      </c>
      <c r="F9" s="4">
        <v>-3.1620497520556961E-4</v>
      </c>
      <c r="G9" s="4">
        <v>5.0023636391349768E-4</v>
      </c>
      <c r="H9" s="4">
        <v>-3.9376143188885049E-5</v>
      </c>
    </row>
    <row r="10" spans="1:8" x14ac:dyDescent="0.2">
      <c r="A10" s="3">
        <v>7</v>
      </c>
      <c r="B10" s="4">
        <v>-4.8041440286671072E-4</v>
      </c>
      <c r="C10" s="4">
        <v>-6.9424758177311266E-2</v>
      </c>
      <c r="D10" s="4">
        <v>-9.6170735057306278E-4</v>
      </c>
      <c r="E10" s="4">
        <v>-1.3385152941315299E-2</v>
      </c>
      <c r="F10" s="4">
        <v>-4.1198672259164237E-4</v>
      </c>
      <c r="G10" s="4">
        <v>5.542793101103588E-4</v>
      </c>
      <c r="H10" s="4">
        <v>6.8239336420791719E-5</v>
      </c>
    </row>
    <row r="11" spans="1:8" x14ac:dyDescent="0.2">
      <c r="A11" s="3">
        <v>8</v>
      </c>
      <c r="B11" s="4">
        <v>2.2531401272241691E-2</v>
      </c>
      <c r="C11" s="4">
        <v>-4.9874924132721522E-2</v>
      </c>
      <c r="D11" s="4">
        <v>-1.5907830047695169E-3</v>
      </c>
      <c r="E11" s="4">
        <v>-2.6522162873297589E-2</v>
      </c>
      <c r="F11" s="4">
        <v>6.2214037001753764E-5</v>
      </c>
      <c r="G11" s="4">
        <v>2.7179180765350702E-4</v>
      </c>
      <c r="H11" s="4">
        <v>-4.3759673637795699E-4</v>
      </c>
    </row>
    <row r="14" spans="1:8" x14ac:dyDescent="0.2">
      <c r="A14" s="10" t="s">
        <v>28</v>
      </c>
      <c r="B14" s="9"/>
      <c r="C14" s="9"/>
      <c r="D14" s="9"/>
      <c r="E14" s="9"/>
      <c r="F14" s="9"/>
      <c r="G14" s="9"/>
    </row>
    <row r="15" spans="1:8" x14ac:dyDescent="0.2">
      <c r="A15" s="1" t="s">
        <v>29</v>
      </c>
      <c r="B15" s="1" t="s">
        <v>30</v>
      </c>
      <c r="C15" s="1" t="s">
        <v>31</v>
      </c>
      <c r="D15" s="13" t="s">
        <v>65</v>
      </c>
      <c r="E15" s="1" t="s">
        <v>32</v>
      </c>
      <c r="F15" s="1" t="s">
        <v>33</v>
      </c>
      <c r="G15" s="1" t="s">
        <v>34</v>
      </c>
      <c r="H15" s="1" t="s">
        <v>35</v>
      </c>
    </row>
    <row r="16" spans="1:8" ht="28" x14ac:dyDescent="0.2">
      <c r="A16" s="5" t="s">
        <v>21</v>
      </c>
      <c r="B16" s="4">
        <v>1.5933004139006168E-2</v>
      </c>
      <c r="C16" s="4">
        <v>8.5035811824085896E-3</v>
      </c>
      <c r="D16" s="4">
        <f>_xlfn.T.INV.2T(0.1/7,7)</f>
        <v>3.2383460877280466</v>
      </c>
      <c r="E16" s="4">
        <f>C16*D16/SQRT(4)</f>
        <v>1.3768769426865347E-2</v>
      </c>
      <c r="F16" s="4">
        <f>B16-E16</f>
        <v>2.1642347121408213E-3</v>
      </c>
      <c r="G16" s="14">
        <f>B16+E16</f>
        <v>2.9701773565871517E-2</v>
      </c>
      <c r="H16" s="16" t="s">
        <v>36</v>
      </c>
    </row>
    <row r="17" spans="1:8" ht="16" x14ac:dyDescent="0.2">
      <c r="A17" s="5" t="s">
        <v>22</v>
      </c>
      <c r="B17" s="4">
        <v>-4.9918539445820739E-2</v>
      </c>
      <c r="C17" s="4">
        <v>1.181066362594526E-2</v>
      </c>
      <c r="D17" s="4">
        <f t="shared" ref="D17:D22" si="0">_xlfn.T.INV.2T(0.1/7,7)</f>
        <v>3.2383460877280466</v>
      </c>
      <c r="E17" s="4">
        <f t="shared" ref="E17:E22" si="1">C17*D17/SQRT(4)</f>
        <v>1.9123508173275888E-2</v>
      </c>
      <c r="F17" s="4">
        <f t="shared" ref="F17:F21" si="2">B17-E17</f>
        <v>-6.904204761909663E-2</v>
      </c>
      <c r="G17" s="14">
        <f t="shared" ref="G17:G22" si="3">B17+E17</f>
        <v>-3.0795031272544852E-2</v>
      </c>
      <c r="H17" s="16" t="s">
        <v>36</v>
      </c>
    </row>
    <row r="18" spans="1:8" ht="16" x14ac:dyDescent="0.2">
      <c r="A18" s="5" t="s">
        <v>23</v>
      </c>
      <c r="B18" s="4">
        <v>-1.3001610751581761E-3</v>
      </c>
      <c r="C18" s="4">
        <v>2.248798462561366E-4</v>
      </c>
      <c r="D18" s="4">
        <f t="shared" si="0"/>
        <v>3.2383460877280466</v>
      </c>
      <c r="E18" s="4">
        <f t="shared" si="1"/>
        <v>3.6411938516622231E-4</v>
      </c>
      <c r="F18" s="4">
        <f t="shared" si="2"/>
        <v>-1.6642804603243984E-3</v>
      </c>
      <c r="G18" s="14">
        <f t="shared" si="3"/>
        <v>-9.3604168999195385E-4</v>
      </c>
      <c r="H18" s="16" t="s">
        <v>36</v>
      </c>
    </row>
    <row r="19" spans="1:8" ht="28" x14ac:dyDescent="0.2">
      <c r="A19" s="5" t="s">
        <v>37</v>
      </c>
      <c r="B19" s="4">
        <v>-5.3938923223107336E-3</v>
      </c>
      <c r="C19" s="4">
        <v>1.473143144790064E-2</v>
      </c>
      <c r="D19" s="4">
        <f t="shared" si="0"/>
        <v>3.2383460877280466</v>
      </c>
      <c r="E19" s="4">
        <f t="shared" si="1"/>
        <v>2.3852736697971475E-2</v>
      </c>
      <c r="F19" s="4">
        <f t="shared" si="2"/>
        <v>-2.924662902028221E-2</v>
      </c>
      <c r="G19" s="14">
        <f t="shared" si="3"/>
        <v>1.8458844375660741E-2</v>
      </c>
      <c r="H19" s="15" t="s">
        <v>38</v>
      </c>
    </row>
    <row r="20" spans="1:8" ht="28" x14ac:dyDescent="0.2">
      <c r="A20" s="5" t="s">
        <v>39</v>
      </c>
      <c r="B20" s="4">
        <v>-7.2621216702366265E-5</v>
      </c>
      <c r="C20" s="4">
        <v>2.5344243329972492E-4</v>
      </c>
      <c r="D20" s="4">
        <f t="shared" si="0"/>
        <v>3.2383460877280466</v>
      </c>
      <c r="E20" s="4">
        <f>C20*D20/SQRT(4)</f>
        <v>4.1036715617022028E-4</v>
      </c>
      <c r="F20" s="4">
        <f t="shared" si="2"/>
        <v>-4.8298837287258654E-4</v>
      </c>
      <c r="G20" s="17">
        <f>B20+E20</f>
        <v>3.3774593946785401E-4</v>
      </c>
      <c r="H20" s="15" t="s">
        <v>38</v>
      </c>
    </row>
    <row r="21" spans="1:8" ht="28" x14ac:dyDescent="0.2">
      <c r="A21" s="5" t="s">
        <v>40</v>
      </c>
      <c r="B21" s="4">
        <v>5.2128756987749117E-4</v>
      </c>
      <c r="C21" s="4">
        <v>1.181045440113684E-4</v>
      </c>
      <c r="D21" s="4">
        <f t="shared" si="0"/>
        <v>3.2383460877280466</v>
      </c>
      <c r="E21" s="4">
        <f t="shared" si="1"/>
        <v>1.9123169402105987E-4</v>
      </c>
      <c r="F21" s="4">
        <f t="shared" si="2"/>
        <v>3.3005587585643132E-4</v>
      </c>
      <c r="G21" s="14">
        <f t="shared" si="3"/>
        <v>7.1251926389855101E-4</v>
      </c>
      <c r="H21" s="16" t="s">
        <v>36</v>
      </c>
    </row>
    <row r="22" spans="1:8" ht="28" x14ac:dyDescent="0.2">
      <c r="A22" s="5" t="s">
        <v>41</v>
      </c>
      <c r="B22" s="4">
        <v>-1.566571910425543E-4</v>
      </c>
      <c r="C22" s="4">
        <v>1.9545132047626071E-4</v>
      </c>
      <c r="D22" s="4">
        <f t="shared" si="0"/>
        <v>3.2383460877280466</v>
      </c>
      <c r="E22" s="4">
        <f t="shared" si="1"/>
        <v>3.1646950950278973E-4</v>
      </c>
      <c r="F22" s="4">
        <f>B22-E22</f>
        <v>-4.7312670054534399E-4</v>
      </c>
      <c r="G22" s="14">
        <f t="shared" si="3"/>
        <v>1.5981231846023543E-4</v>
      </c>
      <c r="H22" s="15" t="s">
        <v>38</v>
      </c>
    </row>
  </sheetData>
  <mergeCells count="2">
    <mergeCell ref="A14:G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7" width="15" customWidth="1"/>
  </cols>
  <sheetData>
    <row r="1" spans="1:17" x14ac:dyDescent="0.2">
      <c r="A1" s="8" t="s">
        <v>42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3" spans="1:17" x14ac:dyDescent="0.2">
      <c r="A3" s="1" t="s">
        <v>43</v>
      </c>
    </row>
    <row r="4" spans="1:17" x14ac:dyDescent="0.2">
      <c r="A4" s="1" t="s">
        <v>44</v>
      </c>
      <c r="B4" s="1" t="s">
        <v>45</v>
      </c>
      <c r="C4" s="1" t="s">
        <v>46</v>
      </c>
      <c r="E4" s="1" t="s">
        <v>44</v>
      </c>
      <c r="F4" s="1" t="s">
        <v>45</v>
      </c>
      <c r="G4" s="1" t="s">
        <v>47</v>
      </c>
      <c r="I4" s="1" t="s">
        <v>44</v>
      </c>
      <c r="J4" s="1" t="s">
        <v>45</v>
      </c>
      <c r="K4" s="1" t="s">
        <v>48</v>
      </c>
    </row>
    <row r="5" spans="1:17" x14ac:dyDescent="0.2">
      <c r="A5" s="3" t="s">
        <v>17</v>
      </c>
      <c r="B5" s="4">
        <v>0.43332540155288241</v>
      </c>
      <c r="C5" s="6">
        <v>12</v>
      </c>
      <c r="E5" s="3" t="s">
        <v>17</v>
      </c>
      <c r="F5" s="4">
        <v>0.46625117334529592</v>
      </c>
      <c r="G5" s="6">
        <v>1</v>
      </c>
      <c r="I5" s="3" t="s">
        <v>17</v>
      </c>
      <c r="J5" s="4">
        <v>0.44194198415996472</v>
      </c>
      <c r="K5" s="6">
        <v>1</v>
      </c>
    </row>
    <row r="6" spans="1:17" x14ac:dyDescent="0.2">
      <c r="A6" s="3" t="s">
        <v>18</v>
      </c>
      <c r="B6" s="4">
        <v>0.44925840569188857</v>
      </c>
      <c r="C6" s="6">
        <v>15</v>
      </c>
      <c r="E6" s="3" t="s">
        <v>18</v>
      </c>
      <c r="F6" s="4">
        <v>0.41633263389947522</v>
      </c>
      <c r="G6" s="6">
        <v>2</v>
      </c>
      <c r="I6" s="3" t="s">
        <v>18</v>
      </c>
      <c r="J6" s="4">
        <v>0.44064182308480643</v>
      </c>
      <c r="K6" s="6">
        <v>2</v>
      </c>
    </row>
    <row r="25" spans="1:8" ht="28" x14ac:dyDescent="0.2">
      <c r="A25" s="1" t="s">
        <v>49</v>
      </c>
    </row>
    <row r="27" spans="1:8" x14ac:dyDescent="0.2">
      <c r="A27" s="10" t="s">
        <v>50</v>
      </c>
      <c r="B27" s="11"/>
      <c r="C27" s="12"/>
      <c r="E27" s="10" t="s">
        <v>51</v>
      </c>
      <c r="F27" s="11"/>
      <c r="G27" s="12"/>
    </row>
    <row r="28" spans="1:8" x14ac:dyDescent="0.2">
      <c r="A28" s="1" t="s">
        <v>46</v>
      </c>
      <c r="B28" s="1" t="s">
        <v>52</v>
      </c>
      <c r="C28" s="1" t="s">
        <v>53</v>
      </c>
      <c r="D28" s="1" t="s">
        <v>54</v>
      </c>
      <c r="E28" s="1" t="s">
        <v>46</v>
      </c>
      <c r="F28" s="1" t="s">
        <v>52</v>
      </c>
      <c r="G28" s="1" t="s">
        <v>53</v>
      </c>
      <c r="H28" s="1" t="s">
        <v>54</v>
      </c>
    </row>
    <row r="29" spans="1:8" x14ac:dyDescent="0.2">
      <c r="A29" s="3">
        <v>12</v>
      </c>
      <c r="B29" s="4">
        <v>0.45654046742432541</v>
      </c>
      <c r="C29" s="4">
        <v>0.41133787553989531</v>
      </c>
      <c r="E29" s="3">
        <v>12</v>
      </c>
      <c r="F29" s="4">
        <v>0.45463498280494952</v>
      </c>
      <c r="G29" s="4">
        <v>0.41078828044235949</v>
      </c>
    </row>
    <row r="30" spans="1:8" x14ac:dyDescent="0.2">
      <c r="A30" s="3">
        <v>15</v>
      </c>
      <c r="B30" s="4">
        <v>0.47778332791130212</v>
      </c>
      <c r="C30" s="4">
        <v>0.42210626576433569</v>
      </c>
      <c r="E30" s="3">
        <v>15</v>
      </c>
      <c r="F30" s="4">
        <v>0.47604591524060658</v>
      </c>
      <c r="G30" s="4">
        <v>0.42109811385131007</v>
      </c>
    </row>
    <row r="52" spans="1:8" x14ac:dyDescent="0.2">
      <c r="A52" s="10" t="s">
        <v>55</v>
      </c>
      <c r="B52" s="11"/>
      <c r="C52" s="12"/>
      <c r="E52" s="10" t="s">
        <v>56</v>
      </c>
      <c r="F52" s="11"/>
      <c r="G52" s="12"/>
    </row>
    <row r="53" spans="1:8" x14ac:dyDescent="0.2">
      <c r="A53" s="1" t="s">
        <v>46</v>
      </c>
      <c r="B53" s="1" t="s">
        <v>57</v>
      </c>
      <c r="C53" s="1" t="s">
        <v>58</v>
      </c>
      <c r="D53" s="1" t="s">
        <v>59</v>
      </c>
      <c r="E53" s="1" t="s">
        <v>46</v>
      </c>
      <c r="F53" s="1" t="s">
        <v>57</v>
      </c>
      <c r="G53" s="1" t="s">
        <v>58</v>
      </c>
      <c r="H53" s="1" t="s">
        <v>59</v>
      </c>
    </row>
    <row r="54" spans="1:8" x14ac:dyDescent="0.2">
      <c r="A54" s="3">
        <v>12</v>
      </c>
      <c r="B54" s="4">
        <v>0.45654046742432541</v>
      </c>
      <c r="C54" s="4">
        <v>0.45463498280494952</v>
      </c>
      <c r="E54" s="3">
        <v>12</v>
      </c>
      <c r="F54" s="4">
        <v>0.41133787553989531</v>
      </c>
      <c r="G54" s="4">
        <v>0.41078828044235949</v>
      </c>
    </row>
    <row r="55" spans="1:8" x14ac:dyDescent="0.2">
      <c r="A55" s="3">
        <v>15</v>
      </c>
      <c r="B55" s="4">
        <v>0.47778332791130212</v>
      </c>
      <c r="C55" s="4">
        <v>0.47604591524060658</v>
      </c>
      <c r="E55" s="3">
        <v>15</v>
      </c>
      <c r="F55" s="4">
        <v>0.42210626576433569</v>
      </c>
      <c r="G55" s="4">
        <v>0.42109811385131007</v>
      </c>
    </row>
    <row r="77" spans="1:8" x14ac:dyDescent="0.2">
      <c r="A77" s="10" t="s">
        <v>60</v>
      </c>
      <c r="B77" s="11"/>
      <c r="C77" s="12"/>
      <c r="E77" s="10" t="s">
        <v>61</v>
      </c>
      <c r="F77" s="11"/>
      <c r="G77" s="12"/>
    </row>
    <row r="78" spans="1:8" ht="28" x14ac:dyDescent="0.2">
      <c r="A78" s="1" t="s">
        <v>47</v>
      </c>
      <c r="B78" s="1" t="s">
        <v>57</v>
      </c>
      <c r="C78" s="1" t="s">
        <v>58</v>
      </c>
      <c r="D78" s="1" t="s">
        <v>62</v>
      </c>
      <c r="E78" s="1" t="s">
        <v>47</v>
      </c>
      <c r="F78" s="1" t="s">
        <v>57</v>
      </c>
      <c r="G78" s="1" t="s">
        <v>58</v>
      </c>
      <c r="H78" s="1" t="s">
        <v>62</v>
      </c>
    </row>
    <row r="79" spans="1:8" x14ac:dyDescent="0.2">
      <c r="A79" s="3">
        <v>1</v>
      </c>
      <c r="B79" s="4">
        <v>0.45654046742432541</v>
      </c>
      <c r="C79" s="4">
        <v>0.45463498280494952</v>
      </c>
      <c r="E79" s="3">
        <v>1</v>
      </c>
      <c r="F79" s="4">
        <v>0.47778332791130212</v>
      </c>
      <c r="G79" s="4">
        <v>0.47604591524060658</v>
      </c>
    </row>
    <row r="80" spans="1:8" x14ac:dyDescent="0.2">
      <c r="A80" s="3">
        <v>2</v>
      </c>
      <c r="B80" s="4">
        <v>0.41133787553989531</v>
      </c>
      <c r="C80" s="4">
        <v>0.41078828044235949</v>
      </c>
      <c r="E80" s="3">
        <v>2</v>
      </c>
      <c r="F80" s="4">
        <v>0.42210626576433569</v>
      </c>
      <c r="G80" s="4">
        <v>0.42109811385131007</v>
      </c>
    </row>
    <row r="110" spans="1:1" ht="28" x14ac:dyDescent="0.2">
      <c r="A110" s="1" t="s">
        <v>63</v>
      </c>
    </row>
    <row r="111" spans="1:1" ht="208" x14ac:dyDescent="0.2">
      <c r="A111" s="7" t="s">
        <v>64</v>
      </c>
    </row>
  </sheetData>
  <mergeCells count="7">
    <mergeCell ref="A1:Q1"/>
    <mergeCell ref="A52:C52"/>
    <mergeCell ref="E77:G77"/>
    <mergeCell ref="E52:G52"/>
    <mergeCell ref="E27:G27"/>
    <mergeCell ref="A27:C27"/>
    <mergeCell ref="A77:C7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Screening design</vt:lpstr>
      <vt:lpstr>Screening effects</vt:lpstr>
      <vt:lpstr>Screening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2026-05-06T16:37:41Z</dcterms:created>
  <dcterms:modified xsi:type="dcterms:W3CDTF">2026-05-06T16:56:41Z</dcterms:modified>
</cp:coreProperties>
</file>