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633A0827-0A6D-4048-B524-ECE67EB874B5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creening design" sheetId="1" r:id="rId1"/>
    <sheet name="Screening effects" sheetId="2" r:id="rId2"/>
    <sheet name="Screening plo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7" i="2" l="1"/>
  <c r="D18" i="2"/>
  <c r="D19" i="2"/>
  <c r="E19" i="2" s="1"/>
  <c r="D20" i="2"/>
  <c r="E20" i="2" s="1"/>
  <c r="D21" i="2"/>
  <c r="E21" i="2" s="1"/>
  <c r="D22" i="2"/>
  <c r="E22" i="2" s="1"/>
  <c r="D16" i="2"/>
  <c r="E16" i="2" s="1"/>
  <c r="E18" i="2"/>
  <c r="E17" i="2"/>
  <c r="G16" i="2" l="1"/>
  <c r="F16" i="2"/>
  <c r="G19" i="2"/>
  <c r="F19" i="2"/>
  <c r="G20" i="2"/>
  <c r="F20" i="2"/>
  <c r="G17" i="2"/>
  <c r="F17" i="2"/>
  <c r="G21" i="2"/>
  <c r="F21" i="2"/>
  <c r="G18" i="2"/>
  <c r="F18" i="2"/>
  <c r="G22" i="2"/>
  <c r="F22" i="2"/>
</calcChain>
</file>

<file path=xl/sharedStrings.xml><?xml version="1.0" encoding="utf-8"?>
<sst xmlns="http://schemas.openxmlformats.org/spreadsheetml/2006/main" count="123" uniqueCount="66">
  <si>
    <t>2^3 Screening Design: Factor Levels and Objective Values</t>
  </si>
  <si>
    <t>Design point</t>
  </si>
  <si>
    <t>F1 urgent sign</t>
  </si>
  <si>
    <t>F1 urgent value</t>
  </si>
  <si>
    <t>F2 strategy sign</t>
  </si>
  <si>
    <t>F2 strategy value</t>
  </si>
  <si>
    <t>F3 rule sign</t>
  </si>
  <si>
    <t>F3 rule value</t>
  </si>
  <si>
    <t>Batch 1</t>
  </si>
  <si>
    <t>Batch 2</t>
  </si>
  <si>
    <t>Batch 3</t>
  </si>
  <si>
    <t>Batch 4</t>
  </si>
  <si>
    <t>Batch 5</t>
  </si>
  <si>
    <t>Batch 6</t>
  </si>
  <si>
    <t>Batch 7</t>
  </si>
  <si>
    <t>Batch 8</t>
  </si>
  <si>
    <t>Average</t>
  </si>
  <si>
    <t>-</t>
  </si>
  <si>
    <t>+</t>
  </si>
  <si>
    <t>Main and Interaction Effects per Batch</t>
  </si>
  <si>
    <t>Batch</t>
  </si>
  <si>
    <t>e1 urgent slots</t>
  </si>
  <si>
    <t>e2 strategy</t>
  </si>
  <si>
    <t>e3 rule</t>
  </si>
  <si>
    <t>e12 urgent×strategy</t>
  </si>
  <si>
    <t>e13 urgent×rule</t>
  </si>
  <si>
    <t>e23 strategy×rule</t>
  </si>
  <si>
    <t>e123</t>
  </si>
  <si>
    <t>95% Confidence Intervals for Effects</t>
  </si>
  <si>
    <t>Effect</t>
  </si>
  <si>
    <t>Mean</t>
  </si>
  <si>
    <t>Std</t>
  </si>
  <si>
    <t>95% CI half-width</t>
  </si>
  <si>
    <t>CI lower</t>
  </si>
  <si>
    <t>CI upper</t>
  </si>
  <si>
    <t>Significant?</t>
  </si>
  <si>
    <t>NO</t>
  </si>
  <si>
    <t>YES</t>
  </si>
  <si>
    <t>e12 urgent × strategy</t>
  </si>
  <si>
    <t>e13 urgent × rule</t>
  </si>
  <si>
    <t>e23 strategy × rule</t>
  </si>
  <si>
    <t>e123 three-way</t>
  </si>
  <si>
    <t>Screening Design Graphs: Main Effects and Interaction Effects</t>
  </si>
  <si>
    <t>MAIN EFFECTS</t>
  </si>
  <si>
    <t>Level</t>
  </si>
  <si>
    <t>OV</t>
  </si>
  <si>
    <t>urgent slots</t>
  </si>
  <si>
    <t>strategy</t>
  </si>
  <si>
    <t>rule</t>
  </si>
  <si>
    <t>INTERACTION EFFECTS</t>
  </si>
  <si>
    <t>Interaction urgent slots × strategy | rule = - (1)</t>
  </si>
  <si>
    <t>Interaction urgent slots × strategy | rule = + (2)</t>
  </si>
  <si>
    <t>strategy -</t>
  </si>
  <si>
    <t>strategy +</t>
  </si>
  <si>
    <t>fixed rule</t>
  </si>
  <si>
    <t>Interaction urgent slots × rule | strategy = - (1)</t>
  </si>
  <si>
    <t>Interaction urgent slots × rule | strategy = + (2)</t>
  </si>
  <si>
    <t>rule -</t>
  </si>
  <si>
    <t>rule +</t>
  </si>
  <si>
    <t>fixed strategy</t>
  </si>
  <si>
    <t>Interaction strategy × rule | urgent slots = - (12)</t>
  </si>
  <si>
    <t>Interaction strategy × rule | urgent slots = + (14)</t>
  </si>
  <si>
    <t>fixed urgent slots</t>
  </si>
  <si>
    <t>THREE-WAY INTERACTION</t>
  </si>
  <si>
    <t>3-way interaction is interpreted by comparing the two 2-way interaction plots above. If the interaction pattern changes when the third factor switches from '-' to '+', a 3-way interaction is present.</t>
  </si>
  <si>
    <t>T-SCORE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</si>
</sst>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164" fontId="0" fillId="0" borderId="0" xfId="0" applyNumberFormat="1"/>
    <xf numFmtId="0" fontId="7" fillId="5" borderId="0" xfId="2"/>
    <xf numFmtId="0" fontId="6" fillId="4" borderId="0" xfId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urgent slots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plots'!$C$5:$C$6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plots'!$B$5:$B$6</c:f>
              <c:numCache>
                <c:formatCode>#,##0.00000</c:formatCode>
                <c:ptCount val="2"/>
                <c:pt idx="0">
                  <c:v>0.43332540155288241</c:v>
                </c:pt>
                <c:pt idx="1">
                  <c:v>0.43415298304003169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02-884E-9C75-F519352A9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strategy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plots'!$G$5:$G$6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plots'!$F$5:$F$6</c:f>
              <c:numCache>
                <c:formatCode>#,##0.00000</c:formatCode>
                <c:ptCount val="2"/>
                <c:pt idx="0">
                  <c:v>0.45724284580170987</c:v>
                </c:pt>
                <c:pt idx="1">
                  <c:v>0.41023553879120422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04-204D-BB6A-FAD78A510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rule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plots'!$J$4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plots'!$K$5:$K$6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plots'!$J$5:$J$6</c:f>
              <c:numCache>
                <c:formatCode>#,##0.00000</c:formatCode>
                <c:ptCount val="2"/>
                <c:pt idx="0">
                  <c:v>0.43439737505007259</c:v>
                </c:pt>
                <c:pt idx="1">
                  <c:v>0.43308100954284162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8-9247-A1F6-63C3EED70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plots'!$B$29:$B$30</c:f>
              <c:numCache>
                <c:formatCode>#,##0.00000</c:formatCode>
                <c:ptCount val="2"/>
                <c:pt idx="0">
                  <c:v>0.45654046742432541</c:v>
                </c:pt>
                <c:pt idx="1">
                  <c:v>0.45982188066221619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37-7A4D-B046-86B869628ABF}"/>
            </c:ext>
          </c:extLst>
        </c:ser>
        <c:ser>
          <c:idx val="1"/>
          <c:order val="1"/>
          <c:tx>
            <c:strRef>
              <c:f>'Screening plots'!$C$28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plots'!$C$29:$C$30</c:f>
              <c:numCache>
                <c:formatCode>#,##0.00000</c:formatCode>
                <c:ptCount val="2"/>
                <c:pt idx="0">
                  <c:v>0.41133787553989531</c:v>
                </c:pt>
                <c:pt idx="1">
                  <c:v>0.40988927657385338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37-7A4D-B046-86B869628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plots'!$F$29:$F$30</c:f>
              <c:numCache>
                <c:formatCode>#,##0.00000</c:formatCode>
                <c:ptCount val="2"/>
                <c:pt idx="0">
                  <c:v>0.45463498280494952</c:v>
                </c:pt>
                <c:pt idx="1">
                  <c:v>0.45797405231534871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1A-3E44-9DE3-9AFD07E3FC79}"/>
            </c:ext>
          </c:extLst>
        </c:ser>
        <c:ser>
          <c:idx val="1"/>
          <c:order val="1"/>
          <c:tx>
            <c:strRef>
              <c:f>'Screening plots'!$G$28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plots'!$G$29:$G$30</c:f>
              <c:numCache>
                <c:formatCode>#,##0.00000</c:formatCode>
                <c:ptCount val="2"/>
                <c:pt idx="0">
                  <c:v>0.41078828044235949</c:v>
                </c:pt>
                <c:pt idx="1">
                  <c:v>0.40892672260870849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1A-3E44-9DE3-9AFD07E3F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plots'!$B$54:$B$55</c:f>
              <c:numCache>
                <c:formatCode>#,##0.00000</c:formatCode>
                <c:ptCount val="2"/>
                <c:pt idx="0">
                  <c:v>0.45654046742432541</c:v>
                </c:pt>
                <c:pt idx="1">
                  <c:v>0.45982188066221619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4C-7544-8894-A3F313B837C5}"/>
            </c:ext>
          </c:extLst>
        </c:ser>
        <c:ser>
          <c:idx val="1"/>
          <c:order val="1"/>
          <c:tx>
            <c:strRef>
              <c:f>'Screening plots'!$C$53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plots'!$C$54:$C$55</c:f>
              <c:numCache>
                <c:formatCode>#,##0.00000</c:formatCode>
                <c:ptCount val="2"/>
                <c:pt idx="0">
                  <c:v>0.45463498280494952</c:v>
                </c:pt>
                <c:pt idx="1">
                  <c:v>0.45797405231534871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4C-7544-8894-A3F313B83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plots'!$F$54:$F$55</c:f>
              <c:numCache>
                <c:formatCode>#,##0.00000</c:formatCode>
                <c:ptCount val="2"/>
                <c:pt idx="0">
                  <c:v>0.41133787553989531</c:v>
                </c:pt>
                <c:pt idx="1">
                  <c:v>0.40988927657385338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60-3C4E-8CBF-A0882B86D89F}"/>
            </c:ext>
          </c:extLst>
        </c:ser>
        <c:ser>
          <c:idx val="1"/>
          <c:order val="1"/>
          <c:tx>
            <c:strRef>
              <c:f>'Screening plots'!$G$53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plots'!$G$54:$G$55</c:f>
              <c:numCache>
                <c:formatCode>#,##0.00000</c:formatCode>
                <c:ptCount val="2"/>
                <c:pt idx="0">
                  <c:v>0.41078828044235949</c:v>
                </c:pt>
                <c:pt idx="1">
                  <c:v>0.40892672260870849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60-3C4E-8CBF-A0882B86D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plots'!$B$79:$B$80</c:f>
              <c:numCache>
                <c:formatCode>#,##0.00000</c:formatCode>
                <c:ptCount val="2"/>
                <c:pt idx="0">
                  <c:v>0.45654046742432541</c:v>
                </c:pt>
                <c:pt idx="1">
                  <c:v>0.41133787553989531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18-B740-A94E-EF993FA660E2}"/>
            </c:ext>
          </c:extLst>
        </c:ser>
        <c:ser>
          <c:idx val="1"/>
          <c:order val="1"/>
          <c:tx>
            <c:strRef>
              <c:f>'Screening plots'!$C$78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plots'!$C$79:$C$80</c:f>
              <c:numCache>
                <c:formatCode>#,##0.00000</c:formatCode>
                <c:ptCount val="2"/>
                <c:pt idx="0">
                  <c:v>0.45463498280494952</c:v>
                </c:pt>
                <c:pt idx="1">
                  <c:v>0.41078828044235949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18-B740-A94E-EF993FA66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plots'!$F$79:$F$80</c:f>
              <c:numCache>
                <c:formatCode>#,##0.00000</c:formatCode>
                <c:ptCount val="2"/>
                <c:pt idx="0">
                  <c:v>0.45982188066221619</c:v>
                </c:pt>
                <c:pt idx="1">
                  <c:v>0.40988927657385338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AE-A245-A545-7FE1BA943CE2}"/>
            </c:ext>
          </c:extLst>
        </c:ser>
        <c:ser>
          <c:idx val="1"/>
          <c:order val="1"/>
          <c:tx>
            <c:strRef>
              <c:f>'Screening plots'!$G$78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plots'!$G$79:$G$80</c:f>
              <c:numCache>
                <c:formatCode>#,##0.00000</c:formatCode>
                <c:ptCount val="2"/>
                <c:pt idx="0">
                  <c:v>0.45797405231534871</c:v>
                </c:pt>
                <c:pt idx="1">
                  <c:v>0.40892672260870849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BAE-A245-A545-7FE1BA943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22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2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52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22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522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5220000" cy="30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82</xdr:row>
      <xdr:rowOff>0</xdr:rowOff>
    </xdr:from>
    <xdr:ext cx="5220000" cy="30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pane ySplit="3" topLeftCell="A4" activePane="bottomLeft" state="frozen"/>
      <selection pane="bottomLeft" sqref="A1:P1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15" width="14" customWidth="1"/>
    <col min="16" max="16" width="16" customWidth="1"/>
  </cols>
  <sheetData>
    <row r="1" spans="1:16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3" spans="1:16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">
      <c r="A4" s="2">
        <v>1</v>
      </c>
      <c r="B4" s="3" t="s">
        <v>17</v>
      </c>
      <c r="C4" s="3">
        <v>12</v>
      </c>
      <c r="D4" s="3" t="s">
        <v>17</v>
      </c>
      <c r="E4" s="3">
        <v>1</v>
      </c>
      <c r="F4" s="3" t="s">
        <v>17</v>
      </c>
      <c r="G4" s="3">
        <v>1</v>
      </c>
      <c r="H4" s="4">
        <v>0.46239073326871483</v>
      </c>
      <c r="I4" s="4">
        <v>0.47113689241056012</v>
      </c>
      <c r="J4" s="4">
        <v>0.44398509978929479</v>
      </c>
      <c r="K4" s="4">
        <v>0.4607491230745781</v>
      </c>
      <c r="L4" s="4">
        <v>0.45387738625138319</v>
      </c>
      <c r="M4" s="4">
        <v>0.4508656754856662</v>
      </c>
      <c r="N4" s="4">
        <v>0.4651862136880896</v>
      </c>
      <c r="O4" s="4">
        <v>0.44413261542631649</v>
      </c>
      <c r="P4" s="4">
        <v>0.45654046742432541</v>
      </c>
    </row>
    <row r="5" spans="1:16" x14ac:dyDescent="0.2">
      <c r="A5" s="2">
        <v>2</v>
      </c>
      <c r="B5" s="3" t="s">
        <v>18</v>
      </c>
      <c r="C5" s="3">
        <v>14</v>
      </c>
      <c r="D5" s="3" t="s">
        <v>17</v>
      </c>
      <c r="E5" s="3">
        <v>1</v>
      </c>
      <c r="F5" s="3" t="s">
        <v>17</v>
      </c>
      <c r="G5" s="3">
        <v>1</v>
      </c>
      <c r="H5" s="4">
        <v>0.45982980182454092</v>
      </c>
      <c r="I5" s="4">
        <v>0.44934183990802018</v>
      </c>
      <c r="J5" s="4">
        <v>0.46969276865713899</v>
      </c>
      <c r="K5" s="4">
        <v>0.4578764147122652</v>
      </c>
      <c r="L5" s="4">
        <v>0.46434694079488459</v>
      </c>
      <c r="M5" s="4">
        <v>0.45595053601454483</v>
      </c>
      <c r="N5" s="4">
        <v>0.4569760698734141</v>
      </c>
      <c r="O5" s="4">
        <v>0.46456067351292102</v>
      </c>
      <c r="P5" s="4">
        <v>0.45982188066221619</v>
      </c>
    </row>
    <row r="6" spans="1:16" x14ac:dyDescent="0.2">
      <c r="A6" s="2">
        <v>3</v>
      </c>
      <c r="B6" s="3" t="s">
        <v>17</v>
      </c>
      <c r="C6" s="3">
        <v>12</v>
      </c>
      <c r="D6" s="3" t="s">
        <v>18</v>
      </c>
      <c r="E6" s="3">
        <v>2</v>
      </c>
      <c r="F6" s="3" t="s">
        <v>17</v>
      </c>
      <c r="G6" s="3">
        <v>1</v>
      </c>
      <c r="H6" s="4">
        <v>0.41444942730395851</v>
      </c>
      <c r="I6" s="4">
        <v>0.40859786445478657</v>
      </c>
      <c r="J6" s="4">
        <v>0.40940190466731818</v>
      </c>
      <c r="K6" s="4">
        <v>0.39885635242773892</v>
      </c>
      <c r="L6" s="4">
        <v>0.40784441722970238</v>
      </c>
      <c r="M6" s="4">
        <v>0.42282200413439291</v>
      </c>
      <c r="N6" s="4">
        <v>0.40866056847840398</v>
      </c>
      <c r="O6" s="4">
        <v>0.4200704656228611</v>
      </c>
      <c r="P6" s="4">
        <v>0.41133787553989531</v>
      </c>
    </row>
    <row r="7" spans="1:16" x14ac:dyDescent="0.2">
      <c r="A7" s="2">
        <v>4</v>
      </c>
      <c r="B7" s="3" t="s">
        <v>18</v>
      </c>
      <c r="C7" s="3">
        <v>14</v>
      </c>
      <c r="D7" s="3" t="s">
        <v>18</v>
      </c>
      <c r="E7" s="3">
        <v>2</v>
      </c>
      <c r="F7" s="3" t="s">
        <v>17</v>
      </c>
      <c r="G7" s="3">
        <v>1</v>
      </c>
      <c r="H7" s="4">
        <v>0.4217791284541953</v>
      </c>
      <c r="I7" s="4">
        <v>0.41045182580068229</v>
      </c>
      <c r="J7" s="4">
        <v>0.40060373674963318</v>
      </c>
      <c r="K7" s="4">
        <v>0.41460860167890068</v>
      </c>
      <c r="L7" s="4">
        <v>0.40739572759054948</v>
      </c>
      <c r="M7" s="4">
        <v>0.4061034687765655</v>
      </c>
      <c r="N7" s="4">
        <v>0.41099306355332421</v>
      </c>
      <c r="O7" s="4">
        <v>0.40717865998697678</v>
      </c>
      <c r="P7" s="4">
        <v>0.40988927657385338</v>
      </c>
    </row>
    <row r="8" spans="1:16" x14ac:dyDescent="0.2">
      <c r="A8" s="2">
        <v>5</v>
      </c>
      <c r="B8" s="3" t="s">
        <v>17</v>
      </c>
      <c r="C8" s="3">
        <v>12</v>
      </c>
      <c r="D8" s="3" t="s">
        <v>17</v>
      </c>
      <c r="E8" s="3">
        <v>1</v>
      </c>
      <c r="F8" s="3" t="s">
        <v>18</v>
      </c>
      <c r="G8" s="3">
        <v>2</v>
      </c>
      <c r="H8" s="4">
        <v>0.46074974653386791</v>
      </c>
      <c r="I8" s="4">
        <v>0.46912103334647481</v>
      </c>
      <c r="J8" s="4">
        <v>0.441775572543053</v>
      </c>
      <c r="K8" s="4">
        <v>0.45912793809871211</v>
      </c>
      <c r="L8" s="4">
        <v>0.45092830050498028</v>
      </c>
      <c r="M8" s="4">
        <v>0.4494565884855759</v>
      </c>
      <c r="N8" s="4">
        <v>0.46415045308641861</v>
      </c>
      <c r="O8" s="4">
        <v>0.44177022984051367</v>
      </c>
      <c r="P8" s="4">
        <v>0.45463498280494952</v>
      </c>
    </row>
    <row r="9" spans="1:16" x14ac:dyDescent="0.2">
      <c r="A9" s="2">
        <v>6</v>
      </c>
      <c r="B9" s="3" t="s">
        <v>18</v>
      </c>
      <c r="C9" s="3">
        <v>14</v>
      </c>
      <c r="D9" s="3" t="s">
        <v>17</v>
      </c>
      <c r="E9" s="3">
        <v>1</v>
      </c>
      <c r="F9" s="3" t="s">
        <v>18</v>
      </c>
      <c r="G9" s="3">
        <v>2</v>
      </c>
      <c r="H9" s="4">
        <v>0.45794313810674608</v>
      </c>
      <c r="I9" s="4">
        <v>0.44771015544875131</v>
      </c>
      <c r="J9" s="4">
        <v>0.46818795100708749</v>
      </c>
      <c r="K9" s="4">
        <v>0.45571794452216507</v>
      </c>
      <c r="L9" s="4">
        <v>0.46242236001057418</v>
      </c>
      <c r="M9" s="4">
        <v>0.45406467671378098</v>
      </c>
      <c r="N9" s="4">
        <v>0.45501454109809569</v>
      </c>
      <c r="O9" s="4">
        <v>0.46273165161558882</v>
      </c>
      <c r="P9" s="4">
        <v>0.45797405231534871</v>
      </c>
    </row>
    <row r="10" spans="1:16" x14ac:dyDescent="0.2">
      <c r="A10" s="2">
        <v>7</v>
      </c>
      <c r="B10" s="3" t="s">
        <v>17</v>
      </c>
      <c r="C10" s="3">
        <v>12</v>
      </c>
      <c r="D10" s="3" t="s">
        <v>18</v>
      </c>
      <c r="E10" s="3">
        <v>2</v>
      </c>
      <c r="F10" s="3" t="s">
        <v>18</v>
      </c>
      <c r="G10" s="3">
        <v>2</v>
      </c>
      <c r="H10" s="4">
        <v>0.41389505795522069</v>
      </c>
      <c r="I10" s="4">
        <v>0.40801405073560548</v>
      </c>
      <c r="J10" s="4">
        <v>0.40888639996116971</v>
      </c>
      <c r="K10" s="4">
        <v>0.39830772744979132</v>
      </c>
      <c r="L10" s="4">
        <v>0.40698712033934858</v>
      </c>
      <c r="M10" s="4">
        <v>0.42249214214850739</v>
      </c>
      <c r="N10" s="4">
        <v>0.40859688782411219</v>
      </c>
      <c r="O10" s="4">
        <v>0.41912685712512132</v>
      </c>
      <c r="P10" s="4">
        <v>0.41078828044235949</v>
      </c>
    </row>
    <row r="11" spans="1:16" x14ac:dyDescent="0.2">
      <c r="A11" s="2">
        <v>8</v>
      </c>
      <c r="B11" s="3" t="s">
        <v>18</v>
      </c>
      <c r="C11" s="3">
        <v>14</v>
      </c>
      <c r="D11" s="3" t="s">
        <v>18</v>
      </c>
      <c r="E11" s="3">
        <v>2</v>
      </c>
      <c r="F11" s="3" t="s">
        <v>18</v>
      </c>
      <c r="G11" s="3">
        <v>2</v>
      </c>
      <c r="H11" s="4">
        <v>0.42079732305127843</v>
      </c>
      <c r="I11" s="4">
        <v>0.40902540824525507</v>
      </c>
      <c r="J11" s="4">
        <v>0.39966716453659651</v>
      </c>
      <c r="K11" s="4">
        <v>0.41330244929712012</v>
      </c>
      <c r="L11" s="4">
        <v>0.40677295883260328</v>
      </c>
      <c r="M11" s="4">
        <v>0.40558898171195901</v>
      </c>
      <c r="N11" s="4">
        <v>0.40976216129716558</v>
      </c>
      <c r="O11" s="4">
        <v>0.40649733389769022</v>
      </c>
      <c r="P11" s="4">
        <v>0.40892672260870849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pane ySplit="3" topLeftCell="A4" activePane="bottomLeft" state="frozen"/>
      <selection pane="bottomLeft" activeCell="D21" sqref="D21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8" width="22" customWidth="1"/>
  </cols>
  <sheetData>
    <row r="1" spans="1:8" x14ac:dyDescent="0.2">
      <c r="A1" s="13" t="s">
        <v>19</v>
      </c>
      <c r="B1" s="14"/>
      <c r="C1" s="14"/>
      <c r="D1" s="14"/>
      <c r="E1" s="14"/>
      <c r="F1" s="14"/>
      <c r="G1" s="14"/>
      <c r="H1" s="14"/>
    </row>
    <row r="3" spans="1:8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</row>
    <row r="4" spans="1:8" x14ac:dyDescent="0.2">
      <c r="A4" s="3">
        <v>1</v>
      </c>
      <c r="B4" s="4">
        <v>2.2161065937496981E-3</v>
      </c>
      <c r="C4" s="4">
        <v>-4.2498120742304218E-2</v>
      </c>
      <c r="D4" s="4">
        <v>-1.265956301074053E-3</v>
      </c>
      <c r="E4" s="4">
        <v>4.8998765293975649E-3</v>
      </c>
      <c r="F4" s="4">
        <v>-1.6827825928177051E-4</v>
      </c>
      <c r="G4" s="4">
        <v>4.9786892524673887E-4</v>
      </c>
      <c r="H4" s="4">
        <v>-4.5439767807811671E-5</v>
      </c>
    </row>
    <row r="5" spans="1:8" x14ac:dyDescent="0.2">
      <c r="A5" s="3">
        <v>2</v>
      </c>
      <c r="B5" s="4">
        <v>-1.00851528861795E-2</v>
      </c>
      <c r="C5" s="4">
        <v>-5.0305192969369222E-2</v>
      </c>
      <c r="D5" s="4">
        <v>-1.414443699490592E-3</v>
      </c>
      <c r="E5" s="4">
        <v>1.1517812313952189E-2</v>
      </c>
      <c r="F5" s="4">
        <v>-1.146073078574228E-4</v>
      </c>
      <c r="G5" s="4">
        <v>4.0932806218643703E-4</v>
      </c>
      <c r="H5" s="4">
        <v>-3.0669461026561212E-4</v>
      </c>
    </row>
    <row r="6" spans="1:8" x14ac:dyDescent="0.2">
      <c r="A6" s="3">
        <v>3</v>
      </c>
      <c r="B6" s="4">
        <v>8.5256609974051351E-3</v>
      </c>
      <c r="C6" s="4">
        <v>-5.1270546520464227E-2</v>
      </c>
      <c r="D6" s="4">
        <v>-1.291605453869651E-3</v>
      </c>
      <c r="E6" s="4">
        <v>-1.753436266853424E-2</v>
      </c>
      <c r="F6" s="4">
        <v>7.0910522325509651E-5</v>
      </c>
      <c r="G6" s="4">
        <v>5.6556699427699753E-4</v>
      </c>
      <c r="H6" s="4">
        <v>-2.8144427576960729E-4</v>
      </c>
    </row>
    <row r="7" spans="1:8" x14ac:dyDescent="0.2">
      <c r="A7" s="3">
        <v>4</v>
      </c>
      <c r="B7" s="4">
        <v>6.116067289907684E-3</v>
      </c>
      <c r="C7" s="4">
        <v>-5.2099072388542382E-2</v>
      </c>
      <c r="D7" s="4">
        <v>-1.408608131423614E-3</v>
      </c>
      <c r="E7" s="4">
        <v>9.2574182593376242E-3</v>
      </c>
      <c r="F7" s="4">
        <v>-3.2370315451676901E-4</v>
      </c>
      <c r="G7" s="4">
        <v>4.8121945155944762E-4</v>
      </c>
      <c r="H7" s="4">
        <v>-5.5060547399732318E-5</v>
      </c>
    </row>
    <row r="8" spans="1:8" x14ac:dyDescent="0.2">
      <c r="A8" s="3">
        <v>5</v>
      </c>
      <c r="B8" s="4">
        <v>5.3251907257993031E-3</v>
      </c>
      <c r="C8" s="4">
        <v>-5.06436908924046E-2</v>
      </c>
      <c r="D8" s="4">
        <v>-1.5884330447533399E-3</v>
      </c>
      <c r="E8" s="4">
        <v>-5.6566162987484042E-3</v>
      </c>
      <c r="F8" s="4">
        <v>3.1475827362499598E-4</v>
      </c>
      <c r="G8" s="4">
        <v>8.4840022060328479E-4</v>
      </c>
      <c r="H8" s="4">
        <v>-1.974942074212532E-4</v>
      </c>
    </row>
    <row r="9" spans="1:8" x14ac:dyDescent="0.2">
      <c r="A9" s="3">
        <v>6</v>
      </c>
      <c r="B9" s="4">
        <v>-5.9821867593230346E-3</v>
      </c>
      <c r="C9" s="4">
        <v>-3.8332719982035753E-2</v>
      </c>
      <c r="D9" s="4">
        <v>-1.0348238378364849E-3</v>
      </c>
      <c r="E9" s="4">
        <v>-1.082866113786486E-2</v>
      </c>
      <c r="F9" s="4">
        <v>-1.653493448486171E-4</v>
      </c>
      <c r="G9" s="4">
        <v>6.1264931259052968E-4</v>
      </c>
      <c r="H9" s="4">
        <v>7.3036805488133072E-5</v>
      </c>
    </row>
    <row r="10" spans="1:8" x14ac:dyDescent="0.2">
      <c r="A10" s="3">
        <v>7</v>
      </c>
      <c r="B10" s="4">
        <v>-3.4620718137562119E-3</v>
      </c>
      <c r="C10" s="4">
        <v>-5.0828649148253018E-2</v>
      </c>
      <c r="D10" s="4">
        <v>-1.072968071860025E-3</v>
      </c>
      <c r="E10" s="4">
        <v>5.2109560877429684E-3</v>
      </c>
      <c r="F10" s="4">
        <v>-5.2324744387852173E-4</v>
      </c>
      <c r="G10" s="4">
        <v>4.2567661663478468E-4</v>
      </c>
      <c r="H10" s="4">
        <v>-6.0363357054837863E-5</v>
      </c>
    </row>
    <row r="11" spans="1:8" x14ac:dyDescent="0.2">
      <c r="A11" s="3">
        <v>8</v>
      </c>
      <c r="B11" s="4">
        <v>3.9670377495910486E-3</v>
      </c>
      <c r="C11" s="4">
        <v>-4.0080463440672703E-2</v>
      </c>
      <c r="D11" s="4">
        <v>-1.4540855175402959E-3</v>
      </c>
      <c r="E11" s="4">
        <v>-1.672770218124876E-2</v>
      </c>
      <c r="F11" s="4">
        <v>1.9891152423094641E-4</v>
      </c>
      <c r="G11" s="4">
        <v>6.4161822402712676E-4</v>
      </c>
      <c r="H11" s="4">
        <v>-6.7770320004337248E-5</v>
      </c>
    </row>
    <row r="14" spans="1:8" x14ac:dyDescent="0.2">
      <c r="A14" s="15" t="s">
        <v>28</v>
      </c>
      <c r="B14" s="14"/>
      <c r="C14" s="14"/>
      <c r="D14" s="14"/>
      <c r="E14" s="14"/>
      <c r="F14" s="14"/>
      <c r="G14" s="14"/>
    </row>
    <row r="15" spans="1:8" x14ac:dyDescent="0.2">
      <c r="A15" s="1" t="s">
        <v>29</v>
      </c>
      <c r="B15" s="1" t="s">
        <v>30</v>
      </c>
      <c r="C15" s="1" t="s">
        <v>31</v>
      </c>
      <c r="D15" s="8" t="s">
        <v>65</v>
      </c>
      <c r="E15" s="1" t="s">
        <v>32</v>
      </c>
      <c r="F15" s="1" t="s">
        <v>33</v>
      </c>
      <c r="G15" s="1" t="s">
        <v>34</v>
      </c>
      <c r="H15" s="1" t="s">
        <v>35</v>
      </c>
    </row>
    <row r="16" spans="1:8" ht="28" x14ac:dyDescent="0.2">
      <c r="A16" s="5" t="s">
        <v>21</v>
      </c>
      <c r="B16" s="4">
        <v>8.2758148714926448E-4</v>
      </c>
      <c r="C16" s="4">
        <v>6.5803064106544074E-3</v>
      </c>
      <c r="D16" s="4">
        <f>_xlfn.T.INV.2T(0.1/7,7)</f>
        <v>3.2383460877280466</v>
      </c>
      <c r="E16" s="4">
        <f>C16*D16/SQRT(4)</f>
        <v>1.0654654760497243E-2</v>
      </c>
      <c r="F16" s="4">
        <f>B16-E16</f>
        <v>-9.8270732733479783E-3</v>
      </c>
      <c r="G16" s="9">
        <f>B16+E16</f>
        <v>1.1482236247646507E-2</v>
      </c>
      <c r="H16" s="10" t="s">
        <v>36</v>
      </c>
    </row>
    <row r="17" spans="1:8" ht="16" x14ac:dyDescent="0.2">
      <c r="A17" s="5" t="s">
        <v>22</v>
      </c>
      <c r="B17" s="4">
        <v>-4.7007307010505761E-2</v>
      </c>
      <c r="C17" s="4">
        <v>5.6866468127277116E-3</v>
      </c>
      <c r="D17" s="4">
        <f t="shared" ref="D17:D22" si="0">_xlfn.T.INV.2T(0.1/7,7)</f>
        <v>3.2383460877280466</v>
      </c>
      <c r="E17" s="4">
        <f t="shared" ref="E17:E22" si="1">C17*D17/SQRT(4)</f>
        <v>9.2076652291439749E-3</v>
      </c>
      <c r="F17" s="4">
        <f t="shared" ref="F17:F21" si="2">B17-E17</f>
        <v>-5.6214972239649733E-2</v>
      </c>
      <c r="G17" s="9">
        <f t="shared" ref="G17:G22" si="3">B17+E17</f>
        <v>-3.779964178136179E-2</v>
      </c>
      <c r="H17" s="11" t="s">
        <v>37</v>
      </c>
    </row>
    <row r="18" spans="1:8" ht="16" x14ac:dyDescent="0.2">
      <c r="A18" s="5" t="s">
        <v>23</v>
      </c>
      <c r="B18" s="4">
        <v>-1.3163655072310071E-3</v>
      </c>
      <c r="C18" s="4">
        <v>1.9002922752128741E-4</v>
      </c>
      <c r="D18" s="4">
        <f t="shared" si="0"/>
        <v>3.2383460877280466</v>
      </c>
      <c r="E18" s="4">
        <f t="shared" si="1"/>
        <v>3.0769020274877193E-4</v>
      </c>
      <c r="F18" s="4">
        <f t="shared" si="2"/>
        <v>-1.6240557099797791E-3</v>
      </c>
      <c r="G18" s="9">
        <f t="shared" si="3"/>
        <v>-1.0086753044822351E-3</v>
      </c>
      <c r="H18" s="11" t="s">
        <v>37</v>
      </c>
    </row>
    <row r="19" spans="1:8" ht="28" x14ac:dyDescent="0.2">
      <c r="A19" s="5" t="s">
        <v>38</v>
      </c>
      <c r="B19" s="4">
        <v>-2.4826598869957411E-3</v>
      </c>
      <c r="C19" s="4">
        <v>1.169090580756625E-2</v>
      </c>
      <c r="D19" s="4">
        <f t="shared" si="0"/>
        <v>3.2383460877280466</v>
      </c>
      <c r="E19" s="4">
        <f t="shared" si="1"/>
        <v>1.8929599541964631E-2</v>
      </c>
      <c r="F19" s="4">
        <f t="shared" si="2"/>
        <v>-2.1412259428960374E-2</v>
      </c>
      <c r="G19" s="9">
        <f t="shared" si="3"/>
        <v>1.6446939654968889E-2</v>
      </c>
      <c r="H19" s="10" t="s">
        <v>36</v>
      </c>
    </row>
    <row r="20" spans="1:8" ht="28" x14ac:dyDescent="0.2">
      <c r="A20" s="5" t="s">
        <v>39</v>
      </c>
      <c r="B20" s="4">
        <v>-8.8825648775206142E-5</v>
      </c>
      <c r="C20" s="4">
        <v>2.746195637588382E-4</v>
      </c>
      <c r="D20" s="4">
        <f t="shared" si="0"/>
        <v>3.2383460877280466</v>
      </c>
      <c r="E20" s="4">
        <f>C20*D20/SQRT(4)</f>
        <v>4.4465659495600827E-4</v>
      </c>
      <c r="F20" s="4">
        <f t="shared" si="2"/>
        <v>-5.3348224373121441E-4</v>
      </c>
      <c r="G20" s="12">
        <f>B20+E20</f>
        <v>3.5583094618080212E-4</v>
      </c>
      <c r="H20" s="10" t="s">
        <v>36</v>
      </c>
    </row>
    <row r="21" spans="1:8" ht="28" x14ac:dyDescent="0.2">
      <c r="A21" s="5" t="s">
        <v>40</v>
      </c>
      <c r="B21" s="4">
        <v>5.6029097589066837E-4</v>
      </c>
      <c r="C21" s="4">
        <v>1.4315323227173229E-4</v>
      </c>
      <c r="D21" s="4">
        <f t="shared" si="0"/>
        <v>3.2383460877280466</v>
      </c>
      <c r="E21" s="4">
        <f t="shared" si="1"/>
        <v>2.3178985483639428E-4</v>
      </c>
      <c r="F21" s="4">
        <f t="shared" si="2"/>
        <v>3.2850112105427406E-4</v>
      </c>
      <c r="G21" s="9">
        <f t="shared" si="3"/>
        <v>7.9208083072706268E-4</v>
      </c>
      <c r="H21" s="11" t="s">
        <v>37</v>
      </c>
    </row>
    <row r="22" spans="1:8" ht="28" x14ac:dyDescent="0.2">
      <c r="A22" s="5" t="s">
        <v>41</v>
      </c>
      <c r="B22" s="4">
        <v>-1.176537850293823E-4</v>
      </c>
      <c r="C22" s="4">
        <v>1.3104224167540139E-4</v>
      </c>
      <c r="D22" s="4">
        <f t="shared" si="0"/>
        <v>3.2383460877280466</v>
      </c>
      <c r="E22" s="4">
        <f t="shared" si="1"/>
        <v>2.1218006532832464E-4</v>
      </c>
      <c r="F22" s="4">
        <f>B22-E22</f>
        <v>-3.2983385035770696E-4</v>
      </c>
      <c r="G22" s="9">
        <f t="shared" si="3"/>
        <v>9.4526280298942337E-5</v>
      </c>
      <c r="H22" s="10" t="s">
        <v>36</v>
      </c>
    </row>
  </sheetData>
  <mergeCells count="2">
    <mergeCell ref="A14:G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7" width="15" customWidth="1"/>
  </cols>
  <sheetData>
    <row r="1" spans="1:17" x14ac:dyDescent="0.2">
      <c r="A1" s="13" t="s">
        <v>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3" spans="1:17" x14ac:dyDescent="0.2">
      <c r="A3" s="1" t="s">
        <v>43</v>
      </c>
    </row>
    <row r="4" spans="1:17" x14ac:dyDescent="0.2">
      <c r="A4" s="1" t="s">
        <v>44</v>
      </c>
      <c r="B4" s="1" t="s">
        <v>45</v>
      </c>
      <c r="C4" s="1" t="s">
        <v>46</v>
      </c>
      <c r="E4" s="1" t="s">
        <v>44</v>
      </c>
      <c r="F4" s="1" t="s">
        <v>45</v>
      </c>
      <c r="G4" s="1" t="s">
        <v>47</v>
      </c>
      <c r="I4" s="1" t="s">
        <v>44</v>
      </c>
      <c r="J4" s="1" t="s">
        <v>45</v>
      </c>
      <c r="K4" s="1" t="s">
        <v>48</v>
      </c>
    </row>
    <row r="5" spans="1:17" x14ac:dyDescent="0.2">
      <c r="A5" s="3" t="s">
        <v>17</v>
      </c>
      <c r="B5" s="4">
        <v>0.43332540155288241</v>
      </c>
      <c r="C5" s="6">
        <v>12</v>
      </c>
      <c r="E5" s="3" t="s">
        <v>17</v>
      </c>
      <c r="F5" s="4">
        <v>0.45724284580170987</v>
      </c>
      <c r="G5" s="6">
        <v>1</v>
      </c>
      <c r="I5" s="3" t="s">
        <v>17</v>
      </c>
      <c r="J5" s="4">
        <v>0.43439737505007259</v>
      </c>
      <c r="K5" s="6">
        <v>1</v>
      </c>
    </row>
    <row r="6" spans="1:17" x14ac:dyDescent="0.2">
      <c r="A6" s="3" t="s">
        <v>18</v>
      </c>
      <c r="B6" s="4">
        <v>0.43415298304003169</v>
      </c>
      <c r="C6" s="6">
        <v>14</v>
      </c>
      <c r="E6" s="3" t="s">
        <v>18</v>
      </c>
      <c r="F6" s="4">
        <v>0.41023553879120422</v>
      </c>
      <c r="G6" s="6">
        <v>2</v>
      </c>
      <c r="I6" s="3" t="s">
        <v>18</v>
      </c>
      <c r="J6" s="4">
        <v>0.43308100954284162</v>
      </c>
      <c r="K6" s="6">
        <v>2</v>
      </c>
    </row>
    <row r="25" spans="1:8" ht="28" x14ac:dyDescent="0.2">
      <c r="A25" s="1" t="s">
        <v>49</v>
      </c>
    </row>
    <row r="27" spans="1:8" x14ac:dyDescent="0.2">
      <c r="A27" s="15" t="s">
        <v>50</v>
      </c>
      <c r="B27" s="16"/>
      <c r="C27" s="17"/>
      <c r="E27" s="15" t="s">
        <v>51</v>
      </c>
      <c r="F27" s="16"/>
      <c r="G27" s="17"/>
    </row>
    <row r="28" spans="1:8" x14ac:dyDescent="0.2">
      <c r="A28" s="1" t="s">
        <v>46</v>
      </c>
      <c r="B28" s="1" t="s">
        <v>52</v>
      </c>
      <c r="C28" s="1" t="s">
        <v>53</v>
      </c>
      <c r="D28" s="1" t="s">
        <v>54</v>
      </c>
      <c r="E28" s="1" t="s">
        <v>46</v>
      </c>
      <c r="F28" s="1" t="s">
        <v>52</v>
      </c>
      <c r="G28" s="1" t="s">
        <v>53</v>
      </c>
      <c r="H28" s="1" t="s">
        <v>54</v>
      </c>
    </row>
    <row r="29" spans="1:8" x14ac:dyDescent="0.2">
      <c r="A29" s="3">
        <v>12</v>
      </c>
      <c r="B29" s="4">
        <v>0.45654046742432541</v>
      </c>
      <c r="C29" s="4">
        <v>0.41133787553989531</v>
      </c>
      <c r="E29" s="3">
        <v>12</v>
      </c>
      <c r="F29" s="4">
        <v>0.45463498280494952</v>
      </c>
      <c r="G29" s="4">
        <v>0.41078828044235949</v>
      </c>
    </row>
    <row r="30" spans="1:8" x14ac:dyDescent="0.2">
      <c r="A30" s="3">
        <v>14</v>
      </c>
      <c r="B30" s="4">
        <v>0.45982188066221619</v>
      </c>
      <c r="C30" s="4">
        <v>0.40988927657385338</v>
      </c>
      <c r="E30" s="3">
        <v>14</v>
      </c>
      <c r="F30" s="4">
        <v>0.45797405231534871</v>
      </c>
      <c r="G30" s="4">
        <v>0.40892672260870849</v>
      </c>
    </row>
    <row r="52" spans="1:8" x14ac:dyDescent="0.2">
      <c r="A52" s="15" t="s">
        <v>55</v>
      </c>
      <c r="B52" s="16"/>
      <c r="C52" s="17"/>
      <c r="E52" s="15" t="s">
        <v>56</v>
      </c>
      <c r="F52" s="16"/>
      <c r="G52" s="17"/>
    </row>
    <row r="53" spans="1:8" x14ac:dyDescent="0.2">
      <c r="A53" s="1" t="s">
        <v>46</v>
      </c>
      <c r="B53" s="1" t="s">
        <v>57</v>
      </c>
      <c r="C53" s="1" t="s">
        <v>58</v>
      </c>
      <c r="D53" s="1" t="s">
        <v>59</v>
      </c>
      <c r="E53" s="1" t="s">
        <v>46</v>
      </c>
      <c r="F53" s="1" t="s">
        <v>57</v>
      </c>
      <c r="G53" s="1" t="s">
        <v>58</v>
      </c>
      <c r="H53" s="1" t="s">
        <v>59</v>
      </c>
    </row>
    <row r="54" spans="1:8" x14ac:dyDescent="0.2">
      <c r="A54" s="3">
        <v>12</v>
      </c>
      <c r="B54" s="4">
        <v>0.45654046742432541</v>
      </c>
      <c r="C54" s="4">
        <v>0.45463498280494952</v>
      </c>
      <c r="E54" s="3">
        <v>12</v>
      </c>
      <c r="F54" s="4">
        <v>0.41133787553989531</v>
      </c>
      <c r="G54" s="4">
        <v>0.41078828044235949</v>
      </c>
    </row>
    <row r="55" spans="1:8" x14ac:dyDescent="0.2">
      <c r="A55" s="3">
        <v>14</v>
      </c>
      <c r="B55" s="4">
        <v>0.45982188066221619</v>
      </c>
      <c r="C55" s="4">
        <v>0.45797405231534871</v>
      </c>
      <c r="E55" s="3">
        <v>14</v>
      </c>
      <c r="F55" s="4">
        <v>0.40988927657385338</v>
      </c>
      <c r="G55" s="4">
        <v>0.40892672260870849</v>
      </c>
    </row>
    <row r="77" spans="1:8" x14ac:dyDescent="0.2">
      <c r="A77" s="15" t="s">
        <v>60</v>
      </c>
      <c r="B77" s="16"/>
      <c r="C77" s="17"/>
      <c r="E77" s="15" t="s">
        <v>61</v>
      </c>
      <c r="F77" s="16"/>
      <c r="G77" s="17"/>
    </row>
    <row r="78" spans="1:8" ht="28" x14ac:dyDescent="0.2">
      <c r="A78" s="1" t="s">
        <v>47</v>
      </c>
      <c r="B78" s="1" t="s">
        <v>57</v>
      </c>
      <c r="C78" s="1" t="s">
        <v>58</v>
      </c>
      <c r="D78" s="1" t="s">
        <v>62</v>
      </c>
      <c r="E78" s="1" t="s">
        <v>47</v>
      </c>
      <c r="F78" s="1" t="s">
        <v>57</v>
      </c>
      <c r="G78" s="1" t="s">
        <v>58</v>
      </c>
      <c r="H78" s="1" t="s">
        <v>62</v>
      </c>
    </row>
    <row r="79" spans="1:8" x14ac:dyDescent="0.2">
      <c r="A79" s="3">
        <v>1</v>
      </c>
      <c r="B79" s="4">
        <v>0.45654046742432541</v>
      </c>
      <c r="C79" s="4">
        <v>0.45463498280494952</v>
      </c>
      <c r="E79" s="3">
        <v>1</v>
      </c>
      <c r="F79" s="4">
        <v>0.45982188066221619</v>
      </c>
      <c r="G79" s="4">
        <v>0.45797405231534871</v>
      </c>
    </row>
    <row r="80" spans="1:8" x14ac:dyDescent="0.2">
      <c r="A80" s="3">
        <v>2</v>
      </c>
      <c r="B80" s="4">
        <v>0.41133787553989531</v>
      </c>
      <c r="C80" s="4">
        <v>0.41078828044235949</v>
      </c>
      <c r="E80" s="3">
        <v>2</v>
      </c>
      <c r="F80" s="4">
        <v>0.40988927657385338</v>
      </c>
      <c r="G80" s="4">
        <v>0.40892672260870849</v>
      </c>
    </row>
    <row r="110" spans="1:1" ht="28" x14ac:dyDescent="0.2">
      <c r="A110" s="1" t="s">
        <v>63</v>
      </c>
    </row>
    <row r="111" spans="1:1" ht="208" x14ac:dyDescent="0.2">
      <c r="A111" s="7" t="s">
        <v>64</v>
      </c>
    </row>
  </sheetData>
  <mergeCells count="7">
    <mergeCell ref="A1:Q1"/>
    <mergeCell ref="A52:C52"/>
    <mergeCell ref="E77:G77"/>
    <mergeCell ref="E52:G52"/>
    <mergeCell ref="E27:G27"/>
    <mergeCell ref="A27:C27"/>
    <mergeCell ref="A77:C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Screening design</vt:lpstr>
      <vt:lpstr>Screening effects</vt:lpstr>
      <vt:lpstr>Screening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2026-05-06T15:55:15Z</dcterms:created>
  <dcterms:modified xsi:type="dcterms:W3CDTF">2026-05-06T17:32:38Z</dcterms:modified>
</cp:coreProperties>
</file>