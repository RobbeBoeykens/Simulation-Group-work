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81D73F3B-9DCF-434E-93CE-0378734D211D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2" i="2" l="1"/>
  <c r="E22" i="2" s="1"/>
  <c r="E21" i="2"/>
  <c r="G21" i="2" s="1"/>
  <c r="D21" i="2"/>
  <c r="D20" i="2"/>
  <c r="E20" i="2" s="1"/>
  <c r="D19" i="2"/>
  <c r="E19" i="2" s="1"/>
  <c r="D18" i="2"/>
  <c r="E18" i="2" s="1"/>
  <c r="D17" i="2"/>
  <c r="E17" i="2" s="1"/>
  <c r="D16" i="2"/>
  <c r="E16" i="2" s="1"/>
  <c r="G16" i="2" l="1"/>
  <c r="F16" i="2"/>
  <c r="G17" i="2"/>
  <c r="F17" i="2"/>
  <c r="G20" i="2"/>
  <c r="F20" i="2"/>
  <c r="G18" i="2"/>
  <c r="F18" i="2"/>
  <c r="G19" i="2"/>
  <c r="F19" i="2"/>
  <c r="G22" i="2"/>
  <c r="F22" i="2"/>
  <c r="F21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<sst xmlns="http://schemas.openxmlformats.org/spreadsheetml/2006/main" count="123" uniqueCount="66">
  <si>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</si>
  <si>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</si>
  <si>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</si>
  <si>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</si>
  <si>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</si>
  <si>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</si>
  <si>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</si>
  <si>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</si>
  <si>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</si>
  <si>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</si>
  <si>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</si>
  <si>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</si>
  <si>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</si>
  <si>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</si>
  <si>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</si>
  <si>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</si>
  <si>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</si>
  <si>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</si>
  <si>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</si>
  <si>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</si>
  <si>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</si>
  <si>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</si>
  <si>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</si>
  <si>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</si>
  <si>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</si>
  <si>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</si>
  <si>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</si>
  <si>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</si>
  <si>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</si>
  <si>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</si>
  <si>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</si>
  <si>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</si>
  <si>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</si>
  <si>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</si>
  <si>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</si>
  <si>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</si>
  <si>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YES</t>
  </si>
  <si>
    <t>e12 urgent × strategy</t>
  </si>
  <si>
    <t>NO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</si>
  <si>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</si>
  <si>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</si>
  <si>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</si>
  <si>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</si>
  <si>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</si>
  <si>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</si>
  <si>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</si>
  <si>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</si>
  <si>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</si>
  <si>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</si>
  <si>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</si>
  <si>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</si>
  <si>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</si>
  <si>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</si>
  <si>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</si>
  <si>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</si>
  <si>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</si>
  <si>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</si>
  <si>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</si>
  <si>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</si>
  <si>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</si>
  <si>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(13)</t>
  </si>
  <si>
    <t>Interaction strategy × rule | urgent slots = + (15)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</si>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</sst>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6" fillId="4" borderId="0" xfId="1"/>
    <xf numFmtId="0" fontId="7" fillId="5" borderId="0" xfId="2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0.4299418177710661</c:v>
                </c:pt>
                <c:pt idx="1">
                  <c:v>0.44925840569188857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79-3848-885F-4B4E92F93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0.46514001330388022</c:v>
                </c:pt>
                <c:pt idx="1">
                  <c:v>0.41406021015907452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94-D841-BD05-41A7EED7B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0.44022099140286902</c:v>
                </c:pt>
                <c:pt idx="1">
                  <c:v>0.43897923206008582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23-DB44-9D07-0EA48A08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0.47778332791130212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26-A14B-922D-BCF3DD33710C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0.40680295826243318</c:v>
                </c:pt>
                <c:pt idx="1">
                  <c:v>0.42210626576433569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26-A14B-922D-BCF3DD337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0.47604591524060658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E0-B641-8649-2F6AFCD423FC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0.42109811385131007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E0-B641-8649-2F6AFCD42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0.47778332791130212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A2-C942-BC98-FEC539D04D59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0.47604591524060658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A2-C942-BC98-FEC539D04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0.40680295826243318</c:v>
                </c:pt>
                <c:pt idx="1">
                  <c:v>0.42210626576433569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C8-2246-AD10-B428CF1FD190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0.42109811385131007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C8-2246-AD10-B428CF1FD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B1-B943-A002-53BEFEDE61F8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B1-B943-A002-53BEFEDE6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0.47778332791130212</c:v>
                </c:pt>
                <c:pt idx="1">
                  <c:v>0.42210626576433569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9C-8E44-B349-4009DDB24BC4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0.47604591524060658</c:v>
                </c:pt>
                <c:pt idx="1">
                  <c:v>0.42109811385131007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9C-8E44-B349-4009DDB24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13</v>
      </c>
      <c r="D4" s="3" t="s">
        <v>17</v>
      </c>
      <c r="E4" s="3">
        <v>1</v>
      </c>
      <c r="F4" s="3" t="s">
        <v>17</v>
      </c>
      <c r="G4" s="3">
        <v>1</v>
      </c>
      <c r="H4" s="4">
        <v>0.46871363370108382</v>
      </c>
      <c r="I4" s="4">
        <v>0.44420855325140812</v>
      </c>
      <c r="J4" s="4">
        <v>0.45298698512635582</v>
      </c>
      <c r="K4" s="4">
        <v>0.44494537068235968</v>
      </c>
      <c r="L4" s="4">
        <v>0.45579053389542579</v>
      </c>
      <c r="M4" s="4">
        <v>0.46148872002222041</v>
      </c>
      <c r="N4" s="4">
        <v>0.45073000217622561</v>
      </c>
      <c r="O4" s="4">
        <v>0.45466751053216031</v>
      </c>
      <c r="P4" s="4">
        <v>0.45419141367340488</v>
      </c>
    </row>
    <row r="5" spans="1:16" x14ac:dyDescent="0.2">
      <c r="A5" s="2">
        <v>2</v>
      </c>
      <c r="B5" s="3" t="s">
        <v>18</v>
      </c>
      <c r="C5" s="3">
        <v>15</v>
      </c>
      <c r="D5" s="3" t="s">
        <v>17</v>
      </c>
      <c r="E5" s="3">
        <v>1</v>
      </c>
      <c r="F5" s="3" t="s">
        <v>17</v>
      </c>
      <c r="G5" s="3">
        <v>1</v>
      </c>
      <c r="H5" s="4">
        <v>0.4851495241356889</v>
      </c>
      <c r="I5" s="4">
        <v>0.46901825727877239</v>
      </c>
      <c r="J5" s="4">
        <v>0.49225581047844152</v>
      </c>
      <c r="K5" s="4">
        <v>0.46395157670223208</v>
      </c>
      <c r="L5" s="4">
        <v>0.47666658693877167</v>
      </c>
      <c r="M5" s="4">
        <v>0.46396732067248347</v>
      </c>
      <c r="N5" s="4">
        <v>0.47857117828555062</v>
      </c>
      <c r="O5" s="4">
        <v>0.49268636879847599</v>
      </c>
      <c r="P5" s="4">
        <v>0.47778332791130212</v>
      </c>
    </row>
    <row r="6" spans="1:16" x14ac:dyDescent="0.2">
      <c r="A6" s="2">
        <v>3</v>
      </c>
      <c r="B6" s="3" t="s">
        <v>17</v>
      </c>
      <c r="C6" s="3">
        <v>13</v>
      </c>
      <c r="D6" s="3" t="s">
        <v>18</v>
      </c>
      <c r="E6" s="3">
        <v>2</v>
      </c>
      <c r="F6" s="3" t="s">
        <v>17</v>
      </c>
      <c r="G6" s="3">
        <v>1</v>
      </c>
      <c r="H6" s="4">
        <v>0.41512242923217368</v>
      </c>
      <c r="I6" s="4">
        <v>0.40855329278160452</v>
      </c>
      <c r="J6" s="4">
        <v>0.41340173774391747</v>
      </c>
      <c r="K6" s="4">
        <v>0.40431060141956421</v>
      </c>
      <c r="L6" s="4">
        <v>0.38562681630978118</v>
      </c>
      <c r="M6" s="4">
        <v>0.40800431701639239</v>
      </c>
      <c r="N6" s="4">
        <v>0.4137502906638843</v>
      </c>
      <c r="O6" s="4">
        <v>0.40565418093214811</v>
      </c>
      <c r="P6" s="4">
        <v>0.40680295826243318</v>
      </c>
    </row>
    <row r="7" spans="1:16" x14ac:dyDescent="0.2">
      <c r="A7" s="2">
        <v>4</v>
      </c>
      <c r="B7" s="3" t="s">
        <v>18</v>
      </c>
      <c r="C7" s="3">
        <v>15</v>
      </c>
      <c r="D7" s="3" t="s">
        <v>18</v>
      </c>
      <c r="E7" s="3">
        <v>2</v>
      </c>
      <c r="F7" s="3" t="s">
        <v>17</v>
      </c>
      <c r="G7" s="3">
        <v>1</v>
      </c>
      <c r="H7" s="4">
        <v>0.4214138246903858</v>
      </c>
      <c r="I7" s="4">
        <v>0.43890070144311738</v>
      </c>
      <c r="J7" s="4">
        <v>0.41857886393605082</v>
      </c>
      <c r="K7" s="4">
        <v>0.42574981950704383</v>
      </c>
      <c r="L7" s="4">
        <v>0.4231385594268664</v>
      </c>
      <c r="M7" s="4">
        <v>0.43747452186964703</v>
      </c>
      <c r="N7" s="4">
        <v>0.39513874852039288</v>
      </c>
      <c r="O7" s="4">
        <v>0.41645508672118142</v>
      </c>
      <c r="P7" s="4">
        <v>0.42210626576433569</v>
      </c>
    </row>
    <row r="8" spans="1:16" x14ac:dyDescent="0.2">
      <c r="A8" s="2">
        <v>5</v>
      </c>
      <c r="B8" s="3" t="s">
        <v>17</v>
      </c>
      <c r="C8" s="3">
        <v>13</v>
      </c>
      <c r="D8" s="3" t="s">
        <v>17</v>
      </c>
      <c r="E8" s="3">
        <v>1</v>
      </c>
      <c r="F8" s="3" t="s">
        <v>18</v>
      </c>
      <c r="G8" s="3">
        <v>2</v>
      </c>
      <c r="H8" s="4">
        <v>0.46706800875154653</v>
      </c>
      <c r="I8" s="4">
        <v>0.4426715651607292</v>
      </c>
      <c r="J8" s="4">
        <v>0.45124606347462992</v>
      </c>
      <c r="K8" s="4">
        <v>0.44329858251899751</v>
      </c>
      <c r="L8" s="4">
        <v>0.45448323967827919</v>
      </c>
      <c r="M8" s="4">
        <v>0.46025239948834051</v>
      </c>
      <c r="N8" s="4">
        <v>0.44897099428576381</v>
      </c>
      <c r="O8" s="4">
        <v>0.45232431776337262</v>
      </c>
      <c r="P8" s="4">
        <v>0.4525393963902074</v>
      </c>
    </row>
    <row r="9" spans="1:16" x14ac:dyDescent="0.2">
      <c r="A9" s="2">
        <v>6</v>
      </c>
      <c r="B9" s="3" t="s">
        <v>18</v>
      </c>
      <c r="C9" s="3">
        <v>15</v>
      </c>
      <c r="D9" s="3" t="s">
        <v>17</v>
      </c>
      <c r="E9" s="3">
        <v>1</v>
      </c>
      <c r="F9" s="3" t="s">
        <v>18</v>
      </c>
      <c r="G9" s="3">
        <v>2</v>
      </c>
      <c r="H9" s="4">
        <v>0.48342305597013718</v>
      </c>
      <c r="I9" s="4">
        <v>0.46722984686939573</v>
      </c>
      <c r="J9" s="4">
        <v>0.49093383358517639</v>
      </c>
      <c r="K9" s="4">
        <v>0.46174793513205009</v>
      </c>
      <c r="L9" s="4">
        <v>0.47512950403444631</v>
      </c>
      <c r="M9" s="4">
        <v>0.46200457600835992</v>
      </c>
      <c r="N9" s="4">
        <v>0.47657496556585471</v>
      </c>
      <c r="O9" s="4">
        <v>0.49132360475943271</v>
      </c>
      <c r="P9" s="4">
        <v>0.47604591524060658</v>
      </c>
    </row>
    <row r="10" spans="1:16" x14ac:dyDescent="0.2">
      <c r="A10" s="2">
        <v>7</v>
      </c>
      <c r="B10" s="3" t="s">
        <v>17</v>
      </c>
      <c r="C10" s="3">
        <v>13</v>
      </c>
      <c r="D10" s="3" t="s">
        <v>18</v>
      </c>
      <c r="E10" s="3">
        <v>2</v>
      </c>
      <c r="F10" s="3" t="s">
        <v>18</v>
      </c>
      <c r="G10" s="3">
        <v>2</v>
      </c>
      <c r="H10" s="4">
        <v>0.41498660142026278</v>
      </c>
      <c r="I10" s="4">
        <v>0.40713143278026209</v>
      </c>
      <c r="J10" s="4">
        <v>0.41348580423385289</v>
      </c>
      <c r="K10" s="4">
        <v>0.40348532267118198</v>
      </c>
      <c r="L10" s="4">
        <v>0.38459038802382162</v>
      </c>
      <c r="M10" s="4">
        <v>0.40745107432617539</v>
      </c>
      <c r="N10" s="4">
        <v>0.41335197863298317</v>
      </c>
      <c r="O10" s="4">
        <v>0.40538541997721178</v>
      </c>
      <c r="P10" s="4">
        <v>0.40623350275821901</v>
      </c>
    </row>
    <row r="11" spans="1:16" x14ac:dyDescent="0.2">
      <c r="A11" s="2">
        <v>8</v>
      </c>
      <c r="B11" s="3" t="s">
        <v>18</v>
      </c>
      <c r="C11" s="3">
        <v>15</v>
      </c>
      <c r="D11" s="3" t="s">
        <v>18</v>
      </c>
      <c r="E11" s="3">
        <v>2</v>
      </c>
      <c r="F11" s="3" t="s">
        <v>18</v>
      </c>
      <c r="G11" s="3">
        <v>2</v>
      </c>
      <c r="H11" s="4">
        <v>0.42050273344800859</v>
      </c>
      <c r="I11" s="4">
        <v>0.43769346867431658</v>
      </c>
      <c r="J11" s="4">
        <v>0.41810590195407737</v>
      </c>
      <c r="K11" s="4">
        <v>0.42484857130333697</v>
      </c>
      <c r="L11" s="4">
        <v>0.42205245186531992</v>
      </c>
      <c r="M11" s="4">
        <v>0.43643349764697259</v>
      </c>
      <c r="N11" s="4">
        <v>0.39438757309375932</v>
      </c>
      <c r="O11" s="4">
        <v>0.41476071282468918</v>
      </c>
      <c r="P11" s="4">
        <v>0.42109811385131007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ySplit="3" topLeftCell="A4" activePane="bottomLeft" state="frozen"/>
      <selection pane="bottomLeft" activeCell="J14" sqref="J14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19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1.114961628478844E-2</v>
      </c>
      <c r="C4" s="4">
        <v>-5.8082158441906298E-2</v>
      </c>
      <c r="D4" s="4">
        <v>-1.104753042344322E-3</v>
      </c>
      <c r="E4" s="4">
        <v>-5.2458525418094806E-3</v>
      </c>
      <c r="F4" s="4">
        <v>-2.140266616201536E-4</v>
      </c>
      <c r="G4" s="4">
        <v>5.8129351520021244E-4</v>
      </c>
      <c r="H4" s="4">
        <v>-1.7360505361294079E-4</v>
      </c>
    </row>
    <row r="5" spans="1:8" x14ac:dyDescent="0.2">
      <c r="A5" s="3">
        <v>2</v>
      </c>
      <c r="B5" s="4">
        <v>2.756935757289955E-2</v>
      </c>
      <c r="C5" s="4">
        <v>-3.2712331720251238E-2</v>
      </c>
      <c r="D5" s="4">
        <v>-1.488622817549759E-3</v>
      </c>
      <c r="E5" s="4">
        <v>2.885364704884152E-3</v>
      </c>
      <c r="F5" s="4">
        <v>-9.1987715390429159E-6</v>
      </c>
      <c r="G5" s="4">
        <v>1.740764324781735E-4</v>
      </c>
      <c r="H5" s="4">
        <v>1.165123878098806E-4</v>
      </c>
    </row>
    <row r="6" spans="1:8" x14ac:dyDescent="0.2">
      <c r="A6" s="3">
        <v>3</v>
      </c>
      <c r="B6" s="4">
        <v>2.2188454843747509E-2</v>
      </c>
      <c r="C6" s="4">
        <v>-5.5962596199176193E-2</v>
      </c>
      <c r="D6" s="4">
        <v>-8.6294850925723587E-4</v>
      </c>
      <c r="E6" s="4">
        <v>-1.7289842887568602E-2</v>
      </c>
      <c r="F6" s="4">
        <v>-3.4520928362008492E-5</v>
      </c>
      <c r="G6" s="4">
        <v>6.6850076323828056E-4</v>
      </c>
      <c r="H6" s="4">
        <v>-2.4399330759242169E-4</v>
      </c>
    </row>
    <row r="7" spans="1:8" x14ac:dyDescent="0.2">
      <c r="A7" s="3">
        <v>4</v>
      </c>
      <c r="B7" s="4">
        <v>2.0064506338139929E-2</v>
      </c>
      <c r="C7" s="4">
        <v>-3.8887287533628162E-2</v>
      </c>
      <c r="D7" s="4">
        <v>-1.394239171408268E-3</v>
      </c>
      <c r="E7" s="4">
        <v>1.336727021677378E-3</v>
      </c>
      <c r="F7" s="4">
        <v>-1.582057155361111E-4</v>
      </c>
      <c r="G7" s="4">
        <v>5.3097569536381117E-4</v>
      </c>
      <c r="H7" s="4">
        <v>1.2022098787380089E-4</v>
      </c>
    </row>
    <row r="8" spans="1:8" x14ac:dyDescent="0.2">
      <c r="A8" s="3">
        <v>5</v>
      </c>
      <c r="B8" s="4">
        <v>2.9124031089524119E-2</v>
      </c>
      <c r="C8" s="4">
        <v>-6.166541223028349E-2</v>
      </c>
      <c r="D8" s="4">
        <v>-1.2417282422445409E-3</v>
      </c>
      <c r="E8" s="4">
        <v>8.3628723897676699E-3</v>
      </c>
      <c r="F8" s="4">
        <v>-6.9866990691405673E-5</v>
      </c>
      <c r="G8" s="4">
        <v>1.8046031849146271E-4</v>
      </c>
      <c r="H8" s="4">
        <v>4.5027352897977768E-5</v>
      </c>
    </row>
    <row r="9" spans="1:8" x14ac:dyDescent="0.2">
      <c r="A9" s="3">
        <v>6</v>
      </c>
      <c r="B9" s="4">
        <v>1.5670851336083591E-2</v>
      </c>
      <c r="C9" s="4">
        <v>-3.9587401333054162E-2</v>
      </c>
      <c r="D9" s="4">
        <v>-1.1983330277237361E-3</v>
      </c>
      <c r="E9" s="4">
        <v>1.35554627509423E-2</v>
      </c>
      <c r="F9" s="4">
        <v>-3.0355141567531269E-4</v>
      </c>
      <c r="G9" s="4">
        <v>4.0119957127804362E-4</v>
      </c>
      <c r="H9" s="4">
        <v>5.9660649446569007E-5</v>
      </c>
    </row>
    <row r="10" spans="1:8" x14ac:dyDescent="0.2">
      <c r="A10" s="3">
        <v>7</v>
      </c>
      <c r="B10" s="4">
        <v>4.4672999266751612E-3</v>
      </c>
      <c r="C10" s="4">
        <v>-5.9554637350593728E-2</v>
      </c>
      <c r="D10" s="4">
        <v>-1.2261770169230549E-3</v>
      </c>
      <c r="E10" s="4">
        <v>-2.3255273768032821E-2</v>
      </c>
      <c r="F10" s="4">
        <v>-1.4751705624166389E-4</v>
      </c>
      <c r="G10" s="4">
        <v>6.5143328815571444E-4</v>
      </c>
      <c r="H10" s="4">
        <v>-2.89146416245778E-5</v>
      </c>
    </row>
    <row r="11" spans="1:8" x14ac:dyDescent="0.2">
      <c r="A11" s="3">
        <v>8</v>
      </c>
      <c r="B11" s="4">
        <v>2.4298585974721652E-2</v>
      </c>
      <c r="C11" s="4">
        <v>-6.2186600349552777E-2</v>
      </c>
      <c r="D11" s="4">
        <v>-1.4172729148148879E-3</v>
      </c>
      <c r="E11" s="4">
        <v>-1.4210486656466291E-2</v>
      </c>
      <c r="F11" s="4">
        <v>-1.112960529529028E-4</v>
      </c>
      <c r="G11" s="4">
        <v>4.3570548910060181E-4</v>
      </c>
      <c r="H11" s="4">
        <v>-6.0151041782505188E-4</v>
      </c>
    </row>
    <row r="14" spans="1:8" x14ac:dyDescent="0.2">
      <c r="A14" s="10" t="s">
        <v>28</v>
      </c>
      <c r="B14" s="9"/>
      <c r="C14" s="9"/>
      <c r="D14" s="9"/>
      <c r="E14" s="9"/>
      <c r="F14" s="9"/>
      <c r="G14" s="9"/>
    </row>
    <row r="15" spans="1:8" x14ac:dyDescent="0.2">
      <c r="A15" s="1" t="s">
        <v>29</v>
      </c>
      <c r="B15" s="1" t="s">
        <v>30</v>
      </c>
      <c r="C15" s="1" t="s">
        <v>31</v>
      </c>
      <c r="D15" s="13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1.9316587920822491E-2</v>
      </c>
      <c r="C16" s="4">
        <v>8.4381246182412308E-3</v>
      </c>
      <c r="D16" s="4">
        <f>_xlfn.T.INV.2T(0.1/7,7)</f>
        <v>3.2383460877280466</v>
      </c>
      <c r="E16" s="4">
        <f>C16*D16/SQRT(4)</f>
        <v>1.3662783922621604E-2</v>
      </c>
      <c r="F16" s="4">
        <f>B16-E16</f>
        <v>5.6538039982008872E-3</v>
      </c>
      <c r="G16" s="14">
        <f>B16+E16</f>
        <v>3.2979371843444093E-2</v>
      </c>
      <c r="H16" s="15" t="s">
        <v>36</v>
      </c>
    </row>
    <row r="17" spans="1:8" ht="16" x14ac:dyDescent="0.2">
      <c r="A17" s="5" t="s">
        <v>22</v>
      </c>
      <c r="B17" s="4">
        <v>-5.1079803144805758E-2</v>
      </c>
      <c r="C17" s="4">
        <v>1.1941585616512851E-2</v>
      </c>
      <c r="D17" s="4">
        <f t="shared" ref="D17:D22" si="0">_xlfn.T.INV.2T(0.1/7,7)</f>
        <v>3.2383460877280466</v>
      </c>
      <c r="E17" s="4">
        <f t="shared" ref="E17:E22" si="1">C17*D17/SQRT(4)</f>
        <v>1.9335493531251951E-2</v>
      </c>
      <c r="F17" s="4">
        <f t="shared" ref="F17:F21" si="2">B17-E17</f>
        <v>-7.0415296676057712E-2</v>
      </c>
      <c r="G17" s="14">
        <f t="shared" ref="G17:G22" si="3">B17+E17</f>
        <v>-3.1744309613553803E-2</v>
      </c>
      <c r="H17" s="15" t="s">
        <v>36</v>
      </c>
    </row>
    <row r="18" spans="1:8" ht="16" x14ac:dyDescent="0.2">
      <c r="A18" s="5" t="s">
        <v>23</v>
      </c>
      <c r="B18" s="4">
        <v>-1.2417593427832259E-3</v>
      </c>
      <c r="C18" s="4">
        <v>1.9978335263170699E-4</v>
      </c>
      <c r="D18" s="4">
        <f t="shared" si="0"/>
        <v>3.2383460877280466</v>
      </c>
      <c r="E18" s="4">
        <f t="shared" si="1"/>
        <v>3.2348381919404052E-4</v>
      </c>
      <c r="F18" s="4">
        <f t="shared" si="2"/>
        <v>-1.5652431619772665E-3</v>
      </c>
      <c r="G18" s="14">
        <f t="shared" si="3"/>
        <v>-9.1827552358918533E-4</v>
      </c>
      <c r="H18" s="15" t="s">
        <v>36</v>
      </c>
    </row>
    <row r="19" spans="1:8" ht="28" x14ac:dyDescent="0.2">
      <c r="A19" s="5" t="s">
        <v>37</v>
      </c>
      <c r="B19" s="4">
        <v>-4.2326286233257127E-3</v>
      </c>
      <c r="C19" s="4">
        <v>1.303666553616817E-2</v>
      </c>
      <c r="D19" s="4">
        <f t="shared" si="0"/>
        <v>3.2383460877280466</v>
      </c>
      <c r="E19" s="4">
        <f t="shared" si="1"/>
        <v>2.1108617418034624E-2</v>
      </c>
      <c r="F19" s="4">
        <f t="shared" si="2"/>
        <v>-2.5341246041360337E-2</v>
      </c>
      <c r="G19" s="14">
        <f t="shared" si="3"/>
        <v>1.6875988794708911E-2</v>
      </c>
      <c r="H19" s="16" t="s">
        <v>38</v>
      </c>
    </row>
    <row r="20" spans="1:8" ht="28" x14ac:dyDescent="0.2">
      <c r="A20" s="5" t="s">
        <v>39</v>
      </c>
      <c r="B20" s="4">
        <v>-1.3102294907732509E-4</v>
      </c>
      <c r="C20" s="4">
        <v>9.7063762811484879E-5</v>
      </c>
      <c r="D20" s="4">
        <f t="shared" si="0"/>
        <v>3.2383460877280466</v>
      </c>
      <c r="E20" s="4">
        <f>C20*D20/SQRT(4)</f>
        <v>1.5716302828036756E-4</v>
      </c>
      <c r="F20" s="4">
        <f t="shared" si="2"/>
        <v>-2.8818597735769265E-4</v>
      </c>
      <c r="G20" s="17">
        <f>B20+E20</f>
        <v>2.6140079203042471E-5</v>
      </c>
      <c r="H20" s="16" t="s">
        <v>38</v>
      </c>
    </row>
    <row r="21" spans="1:8" ht="28" x14ac:dyDescent="0.2">
      <c r="A21" s="5" t="s">
        <v>40</v>
      </c>
      <c r="B21" s="4">
        <v>4.5295563416328748E-4</v>
      </c>
      <c r="C21" s="4">
        <v>1.939861509072797E-4</v>
      </c>
      <c r="D21" s="4">
        <f t="shared" si="0"/>
        <v>3.2383460877280466</v>
      </c>
      <c r="E21" s="4">
        <f t="shared" si="1"/>
        <v>3.1409714643200584E-4</v>
      </c>
      <c r="F21" s="4">
        <f t="shared" si="2"/>
        <v>1.3885848773128164E-4</v>
      </c>
      <c r="G21" s="14">
        <f t="shared" si="3"/>
        <v>7.6705278059529332E-4</v>
      </c>
      <c r="H21" s="15" t="s">
        <v>36</v>
      </c>
    </row>
    <row r="22" spans="1:8" ht="28" x14ac:dyDescent="0.2">
      <c r="A22" s="5" t="s">
        <v>41</v>
      </c>
      <c r="B22" s="4">
        <v>-8.8325255328345481E-5</v>
      </c>
      <c r="C22" s="4">
        <v>2.4597519045962659E-4</v>
      </c>
      <c r="D22" s="4">
        <f t="shared" si="0"/>
        <v>3.2383460877280466</v>
      </c>
      <c r="E22" s="4">
        <f t="shared" si="1"/>
        <v>3.9827639785154645E-4</v>
      </c>
      <c r="F22" s="4">
        <f>B22-E22</f>
        <v>-4.8660165317989193E-4</v>
      </c>
      <c r="G22" s="14">
        <f t="shared" si="3"/>
        <v>3.0995114252320096E-4</v>
      </c>
      <c r="H22" s="16" t="s">
        <v>38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0.4299418177710661</v>
      </c>
      <c r="C5" s="6">
        <v>13</v>
      </c>
      <c r="E5" s="3" t="s">
        <v>17</v>
      </c>
      <c r="F5" s="4">
        <v>0.46514001330388022</v>
      </c>
      <c r="G5" s="6">
        <v>1</v>
      </c>
      <c r="I5" s="3" t="s">
        <v>17</v>
      </c>
      <c r="J5" s="4">
        <v>0.44022099140286902</v>
      </c>
      <c r="K5" s="6">
        <v>1</v>
      </c>
    </row>
    <row r="6" spans="1:17" x14ac:dyDescent="0.2">
      <c r="A6" s="3" t="s">
        <v>18</v>
      </c>
      <c r="B6" s="4">
        <v>0.44925840569188857</v>
      </c>
      <c r="C6" s="6">
        <v>15</v>
      </c>
      <c r="E6" s="3" t="s">
        <v>18</v>
      </c>
      <c r="F6" s="4">
        <v>0.41406021015907452</v>
      </c>
      <c r="G6" s="6">
        <v>2</v>
      </c>
      <c r="I6" s="3" t="s">
        <v>18</v>
      </c>
      <c r="J6" s="4">
        <v>0.43897923206008582</v>
      </c>
      <c r="K6" s="6">
        <v>2</v>
      </c>
    </row>
    <row r="25" spans="1:8" ht="28" x14ac:dyDescent="0.2">
      <c r="A25" s="1" t="s">
        <v>49</v>
      </c>
    </row>
    <row r="27" spans="1:8" x14ac:dyDescent="0.2">
      <c r="A27" s="10" t="s">
        <v>50</v>
      </c>
      <c r="B27" s="11"/>
      <c r="C27" s="12"/>
      <c r="E27" s="10" t="s">
        <v>51</v>
      </c>
      <c r="F27" s="11"/>
      <c r="G27" s="12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13</v>
      </c>
      <c r="B29" s="4">
        <v>0.45419141367340488</v>
      </c>
      <c r="C29" s="4">
        <v>0.40680295826243318</v>
      </c>
      <c r="E29" s="3">
        <v>13</v>
      </c>
      <c r="F29" s="4">
        <v>0.4525393963902074</v>
      </c>
      <c r="G29" s="4">
        <v>0.40623350275821901</v>
      </c>
    </row>
    <row r="30" spans="1:8" x14ac:dyDescent="0.2">
      <c r="A30" s="3">
        <v>15</v>
      </c>
      <c r="B30" s="4">
        <v>0.47778332791130212</v>
      </c>
      <c r="C30" s="4">
        <v>0.42210626576433569</v>
      </c>
      <c r="E30" s="3">
        <v>15</v>
      </c>
      <c r="F30" s="4">
        <v>0.47604591524060658</v>
      </c>
      <c r="G30" s="4">
        <v>0.42109811385131007</v>
      </c>
    </row>
    <row r="52" spans="1:8" x14ac:dyDescent="0.2">
      <c r="A52" s="10" t="s">
        <v>55</v>
      </c>
      <c r="B52" s="11"/>
      <c r="C52" s="12"/>
      <c r="E52" s="10" t="s">
        <v>56</v>
      </c>
      <c r="F52" s="11"/>
      <c r="G52" s="12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13</v>
      </c>
      <c r="B54" s="4">
        <v>0.45419141367340488</v>
      </c>
      <c r="C54" s="4">
        <v>0.4525393963902074</v>
      </c>
      <c r="E54" s="3">
        <v>13</v>
      </c>
      <c r="F54" s="4">
        <v>0.40680295826243318</v>
      </c>
      <c r="G54" s="4">
        <v>0.40623350275821901</v>
      </c>
    </row>
    <row r="55" spans="1:8" x14ac:dyDescent="0.2">
      <c r="A55" s="3">
        <v>15</v>
      </c>
      <c r="B55" s="4">
        <v>0.47778332791130212</v>
      </c>
      <c r="C55" s="4">
        <v>0.47604591524060658</v>
      </c>
      <c r="E55" s="3">
        <v>15</v>
      </c>
      <c r="F55" s="4">
        <v>0.42210626576433569</v>
      </c>
      <c r="G55" s="4">
        <v>0.42109811385131007</v>
      </c>
    </row>
    <row r="77" spans="1:8" x14ac:dyDescent="0.2">
      <c r="A77" s="10" t="s">
        <v>60</v>
      </c>
      <c r="B77" s="11"/>
      <c r="C77" s="12"/>
      <c r="E77" s="10" t="s">
        <v>61</v>
      </c>
      <c r="F77" s="11"/>
      <c r="G77" s="12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0.45419141367340488</v>
      </c>
      <c r="C79" s="4">
        <v>0.4525393963902074</v>
      </c>
      <c r="E79" s="3">
        <v>1</v>
      </c>
      <c r="F79" s="4">
        <v>0.47778332791130212</v>
      </c>
      <c r="G79" s="4">
        <v>0.47604591524060658</v>
      </c>
    </row>
    <row r="80" spans="1:8" x14ac:dyDescent="0.2">
      <c r="A80" s="3">
        <v>2</v>
      </c>
      <c r="B80" s="4">
        <v>0.40680295826243318</v>
      </c>
      <c r="C80" s="4">
        <v>0.40623350275821901</v>
      </c>
      <c r="E80" s="3">
        <v>2</v>
      </c>
      <c r="F80" s="4">
        <v>0.42210626576433569</v>
      </c>
      <c r="G80" s="4">
        <v>0.42109811385131007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2026-05-06T16:41:00Z</dcterms:created>
  <dcterms:modified xsi:type="dcterms:W3CDTF">2026-05-06T16:56:47Z</dcterms:modified>
</cp:coreProperties>
</file>