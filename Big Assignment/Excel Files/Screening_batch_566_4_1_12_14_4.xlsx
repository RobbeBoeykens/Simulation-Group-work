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DF16ECC4-756F-8C4A-B390-EB04015FF7A2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G16" i="2" l="1"/>
  <c r="F16" i="2"/>
  <c r="G13" i="2"/>
  <c r="F13" i="2"/>
  <c r="G15" i="2"/>
  <c r="F15" i="2"/>
  <c r="G17" i="2"/>
  <c r="F17" i="2"/>
  <c r="G12" i="2"/>
  <c r="F12" i="2"/>
  <c r="G14" i="2"/>
  <c r="F14" i="2"/>
  <c r="G18" i="2"/>
  <c r="F18" i="2"/>
</calcChain>
</file>

<file path=xl/sharedStrings.xml><?xml version="1.0" encoding="utf-8"?>
<sst xmlns="http://schemas.openxmlformats.org/spreadsheetml/2006/main" count="119" uniqueCount="62">
  <si>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</si>
  <si>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</si>
  <si>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</si>
  <si>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</si>
  <si>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</si>
  <si>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</si>
  <si>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</si>
  <si>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</si>
  <si>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</si>
  <si>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</si>
  <si>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</si>
  <si>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</si>
  <si>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</si>
  <si>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</si>
  <si>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</si>
  <si>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</si>
  <si>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</si>
  <si>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</si>
  <si>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</si>
  <si>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</si>
  <si>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</si>
  <si>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</si>
  <si>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</si>
  <si>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</si>
  <si>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</si>
  <si>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</si>
  <si>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</si>
  <si>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</si>
  <si>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</si>
  <si>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</si>
  <si>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</si>
  <si>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</si>
  <si>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</si>
  <si>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</si>
  <si>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</si>
  <si>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</si>
  <si>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</si>
  <si>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</si>
  <si>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</si>
  <si>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</si>
  <si>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</si>
  <si>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</si>
  <si>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</si>
  <si>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</si>
  <si>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</si>
  <si>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</si>
  <si>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</si>
  <si>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</si>
  <si>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</si>
  <si>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</si>
  <si>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</si>
  <si>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</si>
  <si>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</si>
  <si>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</si>
  <si>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</si>
  <si>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</si>
  <si>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</si>
  <si>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(14)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</si>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</sst>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0.4326609331361827</c:v>
                </c:pt>
                <c:pt idx="1">
                  <c:v>0.44659818638750898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0C-934A-801B-D91FD2D1F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0.46080788592900063</c:v>
                </c:pt>
                <c:pt idx="1">
                  <c:v>0.41845123359469122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CE-DE41-8EC8-7BE37DF6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0.44033243662207788</c:v>
                </c:pt>
                <c:pt idx="1">
                  <c:v>0.43892668290161391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FC-C641-8ABA-42871AB67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0.46787128715409421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3F-FE41-B6ED-4B91D597B890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0.41089480862348549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3F-FE41-B6ED-4B91D597B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0.46588362660515192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43-8B4A-9F63-C6FF7715EEA7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0.41027229396448928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43-8B4A-9F63-C6FF7715E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0.46787128715409421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9B-6546-A901-8AFF07935B14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0.46588362660515192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9B-6546-A901-8AFF07935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0.41089480862348549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69-2048-9AF0-A04D32A20BD3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0.41027229396448928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69-2048-9AF0-A04D32A20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0.41089480862348549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30-CC42-9062-CEBA1409A782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0.41027229396448928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30-CC42-9062-CEBA1409A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0.46787128715409421</c:v>
                </c:pt>
                <c:pt idx="1">
                  <c:v>0.42691785547977518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1E-D349-9388-29956B752AEA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0.46588362660515192</c:v>
                </c:pt>
                <c:pt idx="1">
                  <c:v>0.42571997631101449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1E-D349-9388-29956B75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1" width="14" customWidth="1"/>
    <col min="12" max="12" width="16" customWidth="1"/>
  </cols>
  <sheetData>
    <row r="1" spans="1:12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>
        <v>1</v>
      </c>
      <c r="B4" s="3" t="s">
        <v>13</v>
      </c>
      <c r="C4" s="3">
        <v>12</v>
      </c>
      <c r="D4" s="3" t="s">
        <v>13</v>
      </c>
      <c r="E4" s="3">
        <v>1</v>
      </c>
      <c r="F4" s="3" t="s">
        <v>13</v>
      </c>
      <c r="G4" s="3">
        <v>1</v>
      </c>
      <c r="H4" s="4">
        <v>0.45427978503133509</v>
      </c>
      <c r="I4" s="4">
        <v>0.45566853270518121</v>
      </c>
      <c r="J4" s="4">
        <v>0.45134849059513588</v>
      </c>
      <c r="K4" s="4">
        <v>0.46128637259217342</v>
      </c>
      <c r="L4" s="4">
        <v>0.45564579523095639</v>
      </c>
    </row>
    <row r="5" spans="1:12" x14ac:dyDescent="0.2">
      <c r="A5" s="2">
        <v>2</v>
      </c>
      <c r="B5" s="3" t="s">
        <v>14</v>
      </c>
      <c r="C5" s="3">
        <v>14</v>
      </c>
      <c r="D5" s="3" t="s">
        <v>13</v>
      </c>
      <c r="E5" s="3">
        <v>1</v>
      </c>
      <c r="F5" s="3" t="s">
        <v>13</v>
      </c>
      <c r="G5" s="3">
        <v>1</v>
      </c>
      <c r="H5" s="4">
        <v>0.49318782011895662</v>
      </c>
      <c r="I5" s="4">
        <v>0.49050582308398272</v>
      </c>
      <c r="J5" s="4">
        <v>0.446069380673491</v>
      </c>
      <c r="K5" s="4">
        <v>0.44172212473994671</v>
      </c>
      <c r="L5" s="4">
        <v>0.46787128715409421</v>
      </c>
    </row>
    <row r="6" spans="1:12" x14ac:dyDescent="0.2">
      <c r="A6" s="2">
        <v>3</v>
      </c>
      <c r="B6" s="3" t="s">
        <v>13</v>
      </c>
      <c r="C6" s="3">
        <v>12</v>
      </c>
      <c r="D6" s="3" t="s">
        <v>14</v>
      </c>
      <c r="E6" s="3">
        <v>2</v>
      </c>
      <c r="F6" s="3" t="s">
        <v>13</v>
      </c>
      <c r="G6" s="3">
        <v>1</v>
      </c>
      <c r="H6" s="4">
        <v>0.41652061625701919</v>
      </c>
      <c r="I6" s="4">
        <v>0.40377122701340717</v>
      </c>
      <c r="J6" s="4">
        <v>0.42725217521518272</v>
      </c>
      <c r="K6" s="4">
        <v>0.39603521600833308</v>
      </c>
      <c r="L6" s="4">
        <v>0.41089480862348549</v>
      </c>
    </row>
    <row r="7" spans="1:12" x14ac:dyDescent="0.2">
      <c r="A7" s="2">
        <v>4</v>
      </c>
      <c r="B7" s="3" t="s">
        <v>14</v>
      </c>
      <c r="C7" s="3">
        <v>14</v>
      </c>
      <c r="D7" s="3" t="s">
        <v>14</v>
      </c>
      <c r="E7" s="3">
        <v>2</v>
      </c>
      <c r="F7" s="3" t="s">
        <v>13</v>
      </c>
      <c r="G7" s="3">
        <v>1</v>
      </c>
      <c r="H7" s="4">
        <v>0.44663742981207027</v>
      </c>
      <c r="I7" s="4">
        <v>0.44576970464499632</v>
      </c>
      <c r="J7" s="4">
        <v>0.40983500169785081</v>
      </c>
      <c r="K7" s="4">
        <v>0.40542928576418352</v>
      </c>
      <c r="L7" s="4">
        <v>0.42691785547977518</v>
      </c>
    </row>
    <row r="8" spans="1:12" x14ac:dyDescent="0.2">
      <c r="A8" s="2">
        <v>5</v>
      </c>
      <c r="B8" s="3" t="s">
        <v>13</v>
      </c>
      <c r="C8" s="3">
        <v>12</v>
      </c>
      <c r="D8" s="3" t="s">
        <v>13</v>
      </c>
      <c r="E8" s="3">
        <v>1</v>
      </c>
      <c r="F8" s="3" t="s">
        <v>14</v>
      </c>
      <c r="G8" s="3">
        <v>2</v>
      </c>
      <c r="H8" s="4">
        <v>0.45267043246293398</v>
      </c>
      <c r="I8" s="4">
        <v>0.45394009386311601</v>
      </c>
      <c r="J8" s="4">
        <v>0.44859401738965071</v>
      </c>
      <c r="K8" s="4">
        <v>0.46011879518749721</v>
      </c>
      <c r="L8" s="4">
        <v>0.45383083472579949</v>
      </c>
    </row>
    <row r="9" spans="1:12" x14ac:dyDescent="0.2">
      <c r="A9" s="2">
        <v>6</v>
      </c>
      <c r="B9" s="3" t="s">
        <v>14</v>
      </c>
      <c r="C9" s="3">
        <v>14</v>
      </c>
      <c r="D9" s="3" t="s">
        <v>13</v>
      </c>
      <c r="E9" s="3">
        <v>1</v>
      </c>
      <c r="F9" s="3" t="s">
        <v>14</v>
      </c>
      <c r="G9" s="3">
        <v>2</v>
      </c>
      <c r="H9" s="4">
        <v>0.49128519474916782</v>
      </c>
      <c r="I9" s="4">
        <v>0.4882333505157625</v>
      </c>
      <c r="J9" s="4">
        <v>0.44408737031885848</v>
      </c>
      <c r="K9" s="4">
        <v>0.43992859083681879</v>
      </c>
      <c r="L9" s="4">
        <v>0.46588362660515192</v>
      </c>
    </row>
    <row r="10" spans="1:12" x14ac:dyDescent="0.2">
      <c r="A10" s="2">
        <v>7</v>
      </c>
      <c r="B10" s="3" t="s">
        <v>13</v>
      </c>
      <c r="C10" s="3">
        <v>12</v>
      </c>
      <c r="D10" s="3" t="s">
        <v>14</v>
      </c>
      <c r="E10" s="3">
        <v>2</v>
      </c>
      <c r="F10" s="3" t="s">
        <v>14</v>
      </c>
      <c r="G10" s="3">
        <v>2</v>
      </c>
      <c r="H10" s="4">
        <v>0.41658447612808758</v>
      </c>
      <c r="I10" s="4">
        <v>0.40221686578581928</v>
      </c>
      <c r="J10" s="4">
        <v>0.42696931333514831</v>
      </c>
      <c r="K10" s="4">
        <v>0.39531852060890199</v>
      </c>
      <c r="L10" s="4">
        <v>0.41027229396448928</v>
      </c>
    </row>
    <row r="11" spans="1:12" x14ac:dyDescent="0.2">
      <c r="A11" s="2">
        <v>8</v>
      </c>
      <c r="B11" s="3" t="s">
        <v>14</v>
      </c>
      <c r="C11" s="3">
        <v>14</v>
      </c>
      <c r="D11" s="3" t="s">
        <v>14</v>
      </c>
      <c r="E11" s="3">
        <v>2</v>
      </c>
      <c r="F11" s="3" t="s">
        <v>14</v>
      </c>
      <c r="G11" s="3">
        <v>2</v>
      </c>
      <c r="H11" s="4">
        <v>0.44558351078620051</v>
      </c>
      <c r="I11" s="4">
        <v>0.44448018847621568</v>
      </c>
      <c r="J11" s="4">
        <v>0.40889597400918559</v>
      </c>
      <c r="K11" s="4">
        <v>0.40392023197245641</v>
      </c>
      <c r="L11" s="4">
        <v>0.42571997631101449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pane ySplit="3" topLeftCell="A4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15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">
      <c r="A4" s="3">
        <v>1</v>
      </c>
      <c r="B4" s="4">
        <v>3.415966139675479E-2</v>
      </c>
      <c r="C4" s="4">
        <v>-4.1524299844753983E-2</v>
      </c>
      <c r="D4" s="4">
        <v>-1.1255092732477959E-3</v>
      </c>
      <c r="E4" s="4">
        <v>-4.601737290172811E-3</v>
      </c>
      <c r="F4" s="4">
        <v>-3.527629245814734E-4</v>
      </c>
      <c r="G4" s="4">
        <v>6.3047969584710539E-4</v>
      </c>
      <c r="H4" s="4">
        <v>-2.0612652388764249E-4</v>
      </c>
    </row>
    <row r="5" spans="1:8" x14ac:dyDescent="0.2">
      <c r="A5" s="3">
        <v>2</v>
      </c>
      <c r="B5" s="4">
        <v>3.8348086838358338E-2</v>
      </c>
      <c r="C5" s="4">
        <v>-4.802745356190101E-2</v>
      </c>
      <c r="D5" s="4">
        <v>-1.711197201663447E-3</v>
      </c>
      <c r="E5" s="4">
        <v>3.782813322634374E-3</v>
      </c>
      <c r="F5" s="4">
        <v>-6.9797166836915725E-5</v>
      </c>
      <c r="G5" s="4">
        <v>2.892585034792311E-4</v>
      </c>
      <c r="H5" s="4">
        <v>2.0221969624058261E-4</v>
      </c>
    </row>
    <row r="6" spans="1:8" x14ac:dyDescent="0.2">
      <c r="A6" s="3">
        <v>3</v>
      </c>
      <c r="B6" s="4">
        <v>-1.131906745893292E-2</v>
      </c>
      <c r="C6" s="4">
        <v>-2.9286698679942231E-2</v>
      </c>
      <c r="D6" s="4">
        <v>-1.4895932822042851E-3</v>
      </c>
      <c r="E6" s="4">
        <v>-6.4261889627143659E-3</v>
      </c>
      <c r="F6" s="4">
        <v>2.9074260555470018E-5</v>
      </c>
      <c r="G6" s="4">
        <v>8.7864849785453114E-4</v>
      </c>
      <c r="H6" s="4">
        <v>-3.5715716487090538E-4</v>
      </c>
    </row>
    <row r="7" spans="1:8" x14ac:dyDescent="0.2">
      <c r="A7" s="3">
        <v>4</v>
      </c>
      <c r="B7" s="4">
        <v>-5.4396677708750951E-3</v>
      </c>
      <c r="C7" s="4">
        <v>-5.0588157250640253E-2</v>
      </c>
      <c r="D7" s="4">
        <v>-1.2967151247405271E-3</v>
      </c>
      <c r="E7" s="4">
        <v>1.443755833057744E-2</v>
      </c>
      <c r="F7" s="4">
        <v>-3.545787226869046E-4</v>
      </c>
      <c r="G7" s="4">
        <v>1.8384052916148311E-4</v>
      </c>
      <c r="H7" s="4">
        <v>-4.1600473461078653E-5</v>
      </c>
    </row>
    <row r="10" spans="1:8" x14ac:dyDescent="0.2">
      <c r="A10" s="10" t="s">
        <v>24</v>
      </c>
      <c r="B10" s="9"/>
      <c r="C10" s="9"/>
      <c r="D10" s="9"/>
      <c r="E10" s="9"/>
      <c r="F10" s="9"/>
      <c r="G10" s="9"/>
    </row>
    <row r="11" spans="1:8" x14ac:dyDescent="0.2">
      <c r="A11" s="1" t="s">
        <v>25</v>
      </c>
      <c r="B11" s="1" t="s">
        <v>26</v>
      </c>
      <c r="C11" s="1" t="s">
        <v>27</v>
      </c>
      <c r="D11" s="13" t="s">
        <v>61</v>
      </c>
      <c r="E11" s="1" t="s">
        <v>28</v>
      </c>
      <c r="F11" s="1" t="s">
        <v>29</v>
      </c>
      <c r="G11" s="1" t="s">
        <v>30</v>
      </c>
      <c r="H11" s="1" t="s">
        <v>31</v>
      </c>
    </row>
    <row r="12" spans="1:8" ht="28" x14ac:dyDescent="0.2">
      <c r="A12" s="5" t="s">
        <v>17</v>
      </c>
      <c r="B12" s="4">
        <v>1.3937253251326279E-2</v>
      </c>
      <c r="C12" s="4">
        <v>2.5936983837332641E-2</v>
      </c>
      <c r="D12" s="4">
        <f>_xlfn.T.INV.2T(0.1/7,3)</f>
        <v>5.1376545051185385</v>
      </c>
      <c r="E12" s="4">
        <f>C12*D12/SQRT(4)</f>
        <v>6.6627630930529383E-2</v>
      </c>
      <c r="F12" s="4">
        <f>B12-E12</f>
        <v>-5.2690377679203107E-2</v>
      </c>
      <c r="G12" s="14">
        <f>B12+E12</f>
        <v>8.0564884181855659E-2</v>
      </c>
      <c r="H12" s="15" t="s">
        <v>32</v>
      </c>
    </row>
    <row r="13" spans="1:8" ht="16" x14ac:dyDescent="0.2">
      <c r="A13" s="5" t="s">
        <v>18</v>
      </c>
      <c r="B13" s="4">
        <v>-4.2356652334309373E-2</v>
      </c>
      <c r="C13" s="4">
        <v>9.5119601720607249E-3</v>
      </c>
      <c r="D13" s="4">
        <f t="shared" ref="D13:D18" si="0">_xlfn.T.INV.2T(0.1/7,3)</f>
        <v>5.1376545051185385</v>
      </c>
      <c r="E13" s="4">
        <f t="shared" ref="E13:E18" si="1">C13*D13/SQRT(4)</f>
        <v>2.4434582515247945E-2</v>
      </c>
      <c r="F13" s="4">
        <f t="shared" ref="F13:F17" si="2">B13-E13</f>
        <v>-6.6791234849557318E-2</v>
      </c>
      <c r="G13" s="14">
        <f t="shared" ref="G13:G18" si="3">B13+E13</f>
        <v>-1.7922069819061429E-2</v>
      </c>
      <c r="H13" s="16" t="s">
        <v>33</v>
      </c>
    </row>
    <row r="14" spans="1:8" ht="16" x14ac:dyDescent="0.2">
      <c r="A14" s="5" t="s">
        <v>19</v>
      </c>
      <c r="B14" s="4">
        <v>-1.405753720464014E-3</v>
      </c>
      <c r="C14" s="4">
        <v>2.5215812358710078E-4</v>
      </c>
      <c r="D14" s="4">
        <f t="shared" si="0"/>
        <v>5.1376545051185385</v>
      </c>
      <c r="E14" s="4">
        <f t="shared" si="1"/>
        <v>6.4775065982475278E-4</v>
      </c>
      <c r="F14" s="4">
        <f t="shared" si="2"/>
        <v>-2.0535043802887669E-3</v>
      </c>
      <c r="G14" s="14">
        <f t="shared" si="3"/>
        <v>-7.5800306063926123E-4</v>
      </c>
      <c r="H14" s="16" t="s">
        <v>33</v>
      </c>
    </row>
    <row r="15" spans="1:8" ht="28" x14ac:dyDescent="0.2">
      <c r="A15" s="5" t="s">
        <v>34</v>
      </c>
      <c r="B15" s="4">
        <v>1.79811135008116E-3</v>
      </c>
      <c r="C15" s="4">
        <v>9.5270114262176048E-3</v>
      </c>
      <c r="D15" s="4">
        <f t="shared" si="0"/>
        <v>5.1376545051185385</v>
      </c>
      <c r="E15" s="4">
        <f t="shared" si="1"/>
        <v>2.4473246587111336E-2</v>
      </c>
      <c r="F15" s="4">
        <f t="shared" si="2"/>
        <v>-2.2675135237030176E-2</v>
      </c>
      <c r="G15" s="14">
        <f t="shared" si="3"/>
        <v>2.6271357937192496E-2</v>
      </c>
      <c r="H15" s="15" t="s">
        <v>32</v>
      </c>
    </row>
    <row r="16" spans="1:8" ht="28" x14ac:dyDescent="0.2">
      <c r="A16" s="5" t="s">
        <v>35</v>
      </c>
      <c r="B16" s="4">
        <v>-1.870161383874559E-4</v>
      </c>
      <c r="C16" s="4">
        <v>1.966253328858673E-4</v>
      </c>
      <c r="D16" s="4">
        <f t="shared" si="0"/>
        <v>5.1376545051185385</v>
      </c>
      <c r="E16" s="4">
        <f>C16*D16/SQRT(4)</f>
        <v>5.0509651366075425E-4</v>
      </c>
      <c r="F16" s="4">
        <f t="shared" si="2"/>
        <v>-6.9211265204821017E-4</v>
      </c>
      <c r="G16" s="17">
        <f>B16+E16</f>
        <v>3.1808037527329832E-4</v>
      </c>
      <c r="H16" s="15" t="s">
        <v>32</v>
      </c>
    </row>
    <row r="17" spans="1:8" ht="28" x14ac:dyDescent="0.2">
      <c r="A17" s="5" t="s">
        <v>36</v>
      </c>
      <c r="B17" s="4">
        <v>4.9555680658558768E-4</v>
      </c>
      <c r="C17" s="4">
        <v>3.186897432936297E-4</v>
      </c>
      <c r="D17" s="4">
        <f t="shared" si="0"/>
        <v>5.1376545051185385</v>
      </c>
      <c r="E17" s="4">
        <f t="shared" si="1"/>
        <v>8.1865889768379361E-4</v>
      </c>
      <c r="F17" s="4">
        <f t="shared" si="2"/>
        <v>-3.2310209109820593E-4</v>
      </c>
      <c r="G17" s="14">
        <f t="shared" si="3"/>
        <v>1.3142157042693812E-3</v>
      </c>
      <c r="H17" s="15" t="s">
        <v>32</v>
      </c>
    </row>
    <row r="18" spans="1:8" ht="28" x14ac:dyDescent="0.2">
      <c r="A18" s="5" t="s">
        <v>37</v>
      </c>
      <c r="B18" s="4">
        <v>-1.00666116494761E-4</v>
      </c>
      <c r="C18" s="4">
        <v>2.395399209372683E-4</v>
      </c>
      <c r="D18" s="4">
        <f t="shared" si="0"/>
        <v>5.1376545051185385</v>
      </c>
      <c r="E18" s="4">
        <f t="shared" si="1"/>
        <v>6.1533667697954747E-4</v>
      </c>
      <c r="F18" s="4">
        <f>B18-E18</f>
        <v>-7.1600279347430848E-4</v>
      </c>
      <c r="G18" s="14">
        <f t="shared" si="3"/>
        <v>5.1467056048478646E-4</v>
      </c>
      <c r="H18" s="15" t="s">
        <v>32</v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39</v>
      </c>
    </row>
    <row r="4" spans="1:17" x14ac:dyDescent="0.2">
      <c r="A4" s="1" t="s">
        <v>40</v>
      </c>
      <c r="B4" s="1" t="s">
        <v>41</v>
      </c>
      <c r="C4" s="1" t="s">
        <v>42</v>
      </c>
      <c r="E4" s="1" t="s">
        <v>40</v>
      </c>
      <c r="F4" s="1" t="s">
        <v>41</v>
      </c>
      <c r="G4" s="1" t="s">
        <v>43</v>
      </c>
      <c r="I4" s="1" t="s">
        <v>40</v>
      </c>
      <c r="J4" s="1" t="s">
        <v>41</v>
      </c>
      <c r="K4" s="1" t="s">
        <v>44</v>
      </c>
    </row>
    <row r="5" spans="1:17" x14ac:dyDescent="0.2">
      <c r="A5" s="3" t="s">
        <v>13</v>
      </c>
      <c r="B5" s="4">
        <v>0.4326609331361827</v>
      </c>
      <c r="C5" s="6">
        <v>12</v>
      </c>
      <c r="E5" s="3" t="s">
        <v>13</v>
      </c>
      <c r="F5" s="4">
        <v>0.46080788592900063</v>
      </c>
      <c r="G5" s="6">
        <v>1</v>
      </c>
      <c r="I5" s="3" t="s">
        <v>13</v>
      </c>
      <c r="J5" s="4">
        <v>0.44033243662207788</v>
      </c>
      <c r="K5" s="6">
        <v>1</v>
      </c>
    </row>
    <row r="6" spans="1:17" x14ac:dyDescent="0.2">
      <c r="A6" s="3" t="s">
        <v>14</v>
      </c>
      <c r="B6" s="4">
        <v>0.44659818638750898</v>
      </c>
      <c r="C6" s="6">
        <v>14</v>
      </c>
      <c r="E6" s="3" t="s">
        <v>14</v>
      </c>
      <c r="F6" s="4">
        <v>0.41845123359469122</v>
      </c>
      <c r="G6" s="6">
        <v>2</v>
      </c>
      <c r="I6" s="3" t="s">
        <v>14</v>
      </c>
      <c r="J6" s="4">
        <v>0.43892668290161391</v>
      </c>
      <c r="K6" s="6">
        <v>2</v>
      </c>
    </row>
    <row r="25" spans="1:8" ht="28" x14ac:dyDescent="0.2">
      <c r="A25" s="1" t="s">
        <v>45</v>
      </c>
    </row>
    <row r="27" spans="1:8" x14ac:dyDescent="0.2">
      <c r="A27" s="10" t="s">
        <v>46</v>
      </c>
      <c r="B27" s="11"/>
      <c r="C27" s="12"/>
      <c r="E27" s="10" t="s">
        <v>47</v>
      </c>
      <c r="F27" s="11"/>
      <c r="G27" s="12"/>
    </row>
    <row r="28" spans="1:8" x14ac:dyDescent="0.2">
      <c r="A28" s="1" t="s">
        <v>42</v>
      </c>
      <c r="B28" s="1" t="s">
        <v>48</v>
      </c>
      <c r="C28" s="1" t="s">
        <v>49</v>
      </c>
      <c r="D28" s="1" t="s">
        <v>50</v>
      </c>
      <c r="E28" s="1" t="s">
        <v>42</v>
      </c>
      <c r="F28" s="1" t="s">
        <v>48</v>
      </c>
      <c r="G28" s="1" t="s">
        <v>49</v>
      </c>
      <c r="H28" s="1" t="s">
        <v>50</v>
      </c>
    </row>
    <row r="29" spans="1:8" x14ac:dyDescent="0.2">
      <c r="A29" s="3">
        <v>12</v>
      </c>
      <c r="B29" s="4">
        <v>0.45564579523095639</v>
      </c>
      <c r="C29" s="4">
        <v>0.41089480862348549</v>
      </c>
      <c r="E29" s="3">
        <v>12</v>
      </c>
      <c r="F29" s="4">
        <v>0.45383083472579949</v>
      </c>
      <c r="G29" s="4">
        <v>0.41027229396448928</v>
      </c>
    </row>
    <row r="30" spans="1:8" x14ac:dyDescent="0.2">
      <c r="A30" s="3">
        <v>14</v>
      </c>
      <c r="B30" s="4">
        <v>0.46787128715409421</v>
      </c>
      <c r="C30" s="4">
        <v>0.42691785547977518</v>
      </c>
      <c r="E30" s="3">
        <v>14</v>
      </c>
      <c r="F30" s="4">
        <v>0.46588362660515192</v>
      </c>
      <c r="G30" s="4">
        <v>0.42571997631101449</v>
      </c>
    </row>
    <row r="52" spans="1:8" x14ac:dyDescent="0.2">
      <c r="A52" s="10" t="s">
        <v>51</v>
      </c>
      <c r="B52" s="11"/>
      <c r="C52" s="12"/>
      <c r="E52" s="10" t="s">
        <v>52</v>
      </c>
      <c r="F52" s="11"/>
      <c r="G52" s="12"/>
    </row>
    <row r="53" spans="1:8" x14ac:dyDescent="0.2">
      <c r="A53" s="1" t="s">
        <v>42</v>
      </c>
      <c r="B53" s="1" t="s">
        <v>53</v>
      </c>
      <c r="C53" s="1" t="s">
        <v>54</v>
      </c>
      <c r="D53" s="1" t="s">
        <v>55</v>
      </c>
      <c r="E53" s="1" t="s">
        <v>42</v>
      </c>
      <c r="F53" s="1" t="s">
        <v>53</v>
      </c>
      <c r="G53" s="1" t="s">
        <v>54</v>
      </c>
      <c r="H53" s="1" t="s">
        <v>55</v>
      </c>
    </row>
    <row r="54" spans="1:8" x14ac:dyDescent="0.2">
      <c r="A54" s="3">
        <v>12</v>
      </c>
      <c r="B54" s="4">
        <v>0.45564579523095639</v>
      </c>
      <c r="C54" s="4">
        <v>0.45383083472579949</v>
      </c>
      <c r="E54" s="3">
        <v>12</v>
      </c>
      <c r="F54" s="4">
        <v>0.41089480862348549</v>
      </c>
      <c r="G54" s="4">
        <v>0.41027229396448928</v>
      </c>
    </row>
    <row r="55" spans="1:8" x14ac:dyDescent="0.2">
      <c r="A55" s="3">
        <v>14</v>
      </c>
      <c r="B55" s="4">
        <v>0.46787128715409421</v>
      </c>
      <c r="C55" s="4">
        <v>0.46588362660515192</v>
      </c>
      <c r="E55" s="3">
        <v>14</v>
      </c>
      <c r="F55" s="4">
        <v>0.42691785547977518</v>
      </c>
      <c r="G55" s="4">
        <v>0.42571997631101449</v>
      </c>
    </row>
    <row r="77" spans="1:8" x14ac:dyDescent="0.2">
      <c r="A77" s="10" t="s">
        <v>56</v>
      </c>
      <c r="B77" s="11"/>
      <c r="C77" s="12"/>
      <c r="E77" s="10" t="s">
        <v>57</v>
      </c>
      <c r="F77" s="11"/>
      <c r="G77" s="12"/>
    </row>
    <row r="78" spans="1:8" ht="28" x14ac:dyDescent="0.2">
      <c r="A78" s="1" t="s">
        <v>43</v>
      </c>
      <c r="B78" s="1" t="s">
        <v>53</v>
      </c>
      <c r="C78" s="1" t="s">
        <v>54</v>
      </c>
      <c r="D78" s="1" t="s">
        <v>58</v>
      </c>
      <c r="E78" s="1" t="s">
        <v>43</v>
      </c>
      <c r="F78" s="1" t="s">
        <v>53</v>
      </c>
      <c r="G78" s="1" t="s">
        <v>54</v>
      </c>
      <c r="H78" s="1" t="s">
        <v>58</v>
      </c>
    </row>
    <row r="79" spans="1:8" x14ac:dyDescent="0.2">
      <c r="A79" s="3">
        <v>1</v>
      </c>
      <c r="B79" s="4">
        <v>0.45564579523095639</v>
      </c>
      <c r="C79" s="4">
        <v>0.45383083472579949</v>
      </c>
      <c r="E79" s="3">
        <v>1</v>
      </c>
      <c r="F79" s="4">
        <v>0.46787128715409421</v>
      </c>
      <c r="G79" s="4">
        <v>0.46588362660515192</v>
      </c>
    </row>
    <row r="80" spans="1:8" x14ac:dyDescent="0.2">
      <c r="A80" s="3">
        <v>2</v>
      </c>
      <c r="B80" s="4">
        <v>0.41089480862348549</v>
      </c>
      <c r="C80" s="4">
        <v>0.41027229396448928</v>
      </c>
      <c r="E80" s="3">
        <v>2</v>
      </c>
      <c r="F80" s="4">
        <v>0.42691785547977518</v>
      </c>
      <c r="G80" s="4">
        <v>0.42571997631101449</v>
      </c>
    </row>
    <row r="110" spans="1:1" ht="28" x14ac:dyDescent="0.2">
      <c r="A110" s="1" t="s">
        <v>59</v>
      </c>
    </row>
    <row r="111" spans="1:1" ht="208" x14ac:dyDescent="0.2">
      <c r="A111" s="7" t="s">
        <v>60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2026-05-06T15:49:31Z</dcterms:created>
  <dcterms:modified xsi:type="dcterms:W3CDTF">2026-05-06T16:00:25Z</dcterms:modified>
</cp:coreProperties>
</file>