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ophiehoeckman/Documents/GitHub/Simulation-Group-work/Big Assignment/Excel Files/"/>
    </mc:Choice>
  </mc:AlternateContent>
  <xr:revisionPtr revIDLastSave="0" documentId="13_ncr:1_{BD811B32-B898-1D4B-869B-48767C80A37E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Screening design" sheetId="1" r:id="rId1"/>
    <sheet name="Screening effects" sheetId="2" r:id="rId2"/>
    <sheet name="Screening plots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2" i="2" l="1"/>
  <c r="E22" i="2" s="1"/>
  <c r="D21" i="2"/>
  <c r="E21" i="2" s="1"/>
  <c r="D20" i="2"/>
  <c r="E20" i="2" s="1"/>
  <c r="D19" i="2"/>
  <c r="E19" i="2" s="1"/>
  <c r="D18" i="2"/>
  <c r="E18" i="2" s="1"/>
  <c r="D17" i="2"/>
  <c r="E17" i="2" s="1"/>
  <c r="D16" i="2"/>
  <c r="E16" i="2" s="1"/>
  <c r="G16" i="2" l="1"/>
  <c r="F16" i="2"/>
  <c r="G17" i="2"/>
  <c r="F17" i="2"/>
  <c r="G18" i="2"/>
  <c r="F18" i="2"/>
  <c r="G19" i="2"/>
  <c r="F19" i="2"/>
  <c r="G20" i="2"/>
  <c r="F20" i="2"/>
  <c r="G21" i="2"/>
  <c r="F21" i="2"/>
  <c r="G22" i="2"/>
  <c r="F22" i="2"/>
</calcChain>
</file>

<file path=xl/sharedStrings.xml><?xml version="1.0" encoding="utf-8"?>
<sst xmlns="http://schemas.openxmlformats.org/spreadsheetml/2006/main" count="123" uniqueCount="66">
  <si>
    <t>2^3 Screening Design: Factor Levels and Objective Values</t>
  </si>
  <si>
    <t>Design point</t>
  </si>
  <si>
    <t>F1 urgent sign</t>
  </si>
  <si>
    <t>F1 urgent value</t>
  </si>
  <si>
    <t>F2 strategy sign</t>
  </si>
  <si>
    <t>F2 strategy value</t>
  </si>
  <si>
    <t>F3 rule sign</t>
  </si>
  <si>
    <t>F3 rule value</t>
  </si>
  <si>
    <t>Batch 1</t>
  </si>
  <si>
    <t>Batch 2</t>
  </si>
  <si>
    <t>Batch 3</t>
  </si>
  <si>
    <t>Batch 4</t>
  </si>
  <si>
    <t>Batch 5</t>
  </si>
  <si>
    <t>Batch 6</t>
  </si>
  <si>
    <t>Batch 7</t>
  </si>
  <si>
    <t>Batch 8</t>
  </si>
  <si>
    <t>Average</t>
  </si>
  <si>
    <t>-</t>
  </si>
  <si>
    <t>+</t>
  </si>
  <si>
    <t>Main and Interaction Effects per Batch</t>
  </si>
  <si>
    <t>Batch</t>
  </si>
  <si>
    <t>e1 urgent slots</t>
  </si>
  <si>
    <t>e2 strategy</t>
  </si>
  <si>
    <t>e3 rule</t>
  </si>
  <si>
    <t>e12 urgent×strategy</t>
  </si>
  <si>
    <t>e13 urgent×rule</t>
  </si>
  <si>
    <t>e23 strategy×rule</t>
  </si>
  <si>
    <t>e123</t>
  </si>
  <si>
    <t>95% Confidence Intervals for Effects</t>
  </si>
  <si>
    <t>Effect</t>
  </si>
  <si>
    <t>Mean</t>
  </si>
  <si>
    <t>Std</t>
  </si>
  <si>
    <t>95% CI half-width</t>
  </si>
  <si>
    <t>CI lower</t>
  </si>
  <si>
    <t>CI upper</t>
  </si>
  <si>
    <t>Significant?</t>
  </si>
  <si>
    <t>YES</t>
  </si>
  <si>
    <t>e12 urgent × strategy</t>
  </si>
  <si>
    <t>NO</t>
  </si>
  <si>
    <t>e13 urgent × rule</t>
  </si>
  <si>
    <t>e23 strategy × rule</t>
  </si>
  <si>
    <t>e123 three-way</t>
  </si>
  <si>
    <t>Screening Design Graphs: Main Effects and Interaction Effects</t>
  </si>
  <si>
    <t>MAIN EFFECTS</t>
  </si>
  <si>
    <t>Level</t>
  </si>
  <si>
    <t>OV</t>
  </si>
  <si>
    <t>urgent slots</t>
  </si>
  <si>
    <t>strategy</t>
  </si>
  <si>
    <t>rule</t>
  </si>
  <si>
    <t>INTERACTION EFFECTS</t>
  </si>
  <si>
    <t>Interaction urgent slots × strategy | rule = - (1)</t>
  </si>
  <si>
    <t>Interaction urgent slots × strategy | rule = + (2)</t>
  </si>
  <si>
    <t>strategy -</t>
  </si>
  <si>
    <t>strategy +</t>
  </si>
  <si>
    <t>fixed rule</t>
  </si>
  <si>
    <t>Interaction urgent slots × rule | strategy = - (1)</t>
  </si>
  <si>
    <t>Interaction urgent slots × rule | strategy = + (2)</t>
  </si>
  <si>
    <t>rule -</t>
  </si>
  <si>
    <t>rule +</t>
  </si>
  <si>
    <t>fixed strategy</t>
  </si>
  <si>
    <t>Interaction strategy × rule | urgent slots = - (10)</t>
  </si>
  <si>
    <t>Interaction strategy × rule | urgent slots = + (13)</t>
  </si>
  <si>
    <t>fixed urgent slots</t>
  </si>
  <si>
    <t>THREE-WAY INTERACTION</t>
  </si>
  <si>
    <t>3-way interaction is interpreted by comparing the two 2-way interaction plots above. If the interaction pattern changes when the third factor switches from '-' to '+', a 3-way interaction is present.</t>
  </si>
  <si>
    <t>T-SCORE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</si>
</sst>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#,##0.0000000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1F4E79"/>
      <name val="Arial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2" borderId="4" xfId="0" applyFont="1" applyFill="1" applyBorder="1" applyAlignment="1">
      <alignment horizontal="center" vertical="center" wrapText="1"/>
    </xf>
    <xf numFmtId="164" fontId="0" fillId="0" borderId="0" xfId="0" applyNumberFormat="1"/>
    <xf numFmtId="0" fontId="6" fillId="4" borderId="0" xfId="1"/>
    <xf numFmtId="0" fontId="7" fillId="5" borderId="0" xfId="2"/>
    <xf numFmtId="165" fontId="0" fillId="0" borderId="0" xfId="0" applyNumberFormat="1"/>
  </cellXfs>
  <cellStyles count="3">
    <cellStyle name="Goed" xfId="1" builtinId="26"/>
    <cellStyle name="Ongeldig" xfId="2" builtinId="27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urgent slots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plots'!$C$5:$C$6</c:f>
              <c:numCache>
                <c:formatCode>General</c:formatCode>
                <c:ptCount val="2"/>
                <c:pt idx="0">
                  <c:v>10</c:v>
                </c:pt>
                <c:pt idx="1">
                  <c:v>13</c:v>
                </c:pt>
              </c:numCache>
            </c:numRef>
          </c:cat>
          <c:val>
            <c:numRef>
              <c:f>'Screening plots'!$B$5:$B$6</c:f>
              <c:numCache>
                <c:formatCode>#,##0.00000</c:formatCode>
                <c:ptCount val="2"/>
                <c:pt idx="0">
                  <c:v>0.43936837750356922</c:v>
                </c:pt>
                <c:pt idx="1">
                  <c:v>0.4299418177710661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FD-3340-9D71-8B8C0BC2F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strategy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plots'!$G$5:$G$6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plots'!$F$5:$F$6</c:f>
              <c:numCache>
                <c:formatCode>#,##0.00000</c:formatCode>
                <c:ptCount val="2"/>
                <c:pt idx="0">
                  <c:v>0.45826640911488098</c:v>
                </c:pt>
                <c:pt idx="1">
                  <c:v>0.41104378615975418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1E-B142-AF5B-A917C0E4D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rule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plots'!$J$4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plots'!$K$5:$K$6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plots'!$J$5:$J$6</c:f>
              <c:numCache>
                <c:formatCode>#,##0.00000</c:formatCode>
                <c:ptCount val="2"/>
                <c:pt idx="0">
                  <c:v>0.43516295267128308</c:v>
                </c:pt>
                <c:pt idx="1">
                  <c:v>0.43414724260335208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73B-8A45-9FB1-7ACA2819E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strategy | rule=-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plots'!$B$28</c:f>
              <c:strCache>
                <c:ptCount val="1"/>
                <c:pt idx="0">
                  <c:v>strategy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plots'!$A$29:$A$30</c:f>
              <c:numCache>
                <c:formatCode>General</c:formatCode>
                <c:ptCount val="2"/>
                <c:pt idx="0">
                  <c:v>10</c:v>
                </c:pt>
                <c:pt idx="1">
                  <c:v>13</c:v>
                </c:pt>
              </c:numCache>
            </c:numRef>
          </c:cat>
          <c:val>
            <c:numRef>
              <c:f>'Screening plots'!$B$29:$B$30</c:f>
              <c:numCache>
                <c:formatCode>#,##0.00000</c:formatCode>
                <c:ptCount val="2"/>
                <c:pt idx="0">
                  <c:v>0.46389586911888431</c:v>
                </c:pt>
                <c:pt idx="1">
                  <c:v>0.45419141367340488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BBA-6D4C-8DF7-84E85D5CF832}"/>
            </c:ext>
          </c:extLst>
        </c:ser>
        <c:ser>
          <c:idx val="1"/>
          <c:order val="1"/>
          <c:tx>
            <c:strRef>
              <c:f>'Screening plots'!$C$28</c:f>
              <c:strCache>
                <c:ptCount val="1"/>
                <c:pt idx="0">
                  <c:v>strategy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plots'!$A$29:$A$30</c:f>
              <c:numCache>
                <c:formatCode>General</c:formatCode>
                <c:ptCount val="2"/>
                <c:pt idx="0">
                  <c:v>10</c:v>
                </c:pt>
                <c:pt idx="1">
                  <c:v>13</c:v>
                </c:pt>
              </c:numCache>
            </c:numRef>
          </c:cat>
          <c:val>
            <c:numRef>
              <c:f>'Screening plots'!$C$29:$C$30</c:f>
              <c:numCache>
                <c:formatCode>#,##0.00000</c:formatCode>
                <c:ptCount val="2"/>
                <c:pt idx="0">
                  <c:v>0.41576156963041011</c:v>
                </c:pt>
                <c:pt idx="1">
                  <c:v>0.40680295826243318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BBA-6D4C-8DF7-84E85D5CF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strategy | rule=+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plots'!$F$28</c:f>
              <c:strCache>
                <c:ptCount val="1"/>
                <c:pt idx="0">
                  <c:v>strategy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plots'!$E$29:$E$30</c:f>
              <c:numCache>
                <c:formatCode>General</c:formatCode>
                <c:ptCount val="2"/>
                <c:pt idx="0">
                  <c:v>10</c:v>
                </c:pt>
                <c:pt idx="1">
                  <c:v>13</c:v>
                </c:pt>
              </c:numCache>
            </c:numRef>
          </c:cat>
          <c:val>
            <c:numRef>
              <c:f>'Screening plots'!$F$29:$F$30</c:f>
              <c:numCache>
                <c:formatCode>#,##0.00000</c:formatCode>
                <c:ptCount val="2"/>
                <c:pt idx="0">
                  <c:v>0.46243895727702738</c:v>
                </c:pt>
                <c:pt idx="1">
                  <c:v>0.4525393963902074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95E-D346-A8DF-35D02E4E5379}"/>
            </c:ext>
          </c:extLst>
        </c:ser>
        <c:ser>
          <c:idx val="1"/>
          <c:order val="1"/>
          <c:tx>
            <c:strRef>
              <c:f>'Screening plots'!$G$28</c:f>
              <c:strCache>
                <c:ptCount val="1"/>
                <c:pt idx="0">
                  <c:v>strategy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plots'!$E$29:$E$30</c:f>
              <c:numCache>
                <c:formatCode>General</c:formatCode>
                <c:ptCount val="2"/>
                <c:pt idx="0">
                  <c:v>10</c:v>
                </c:pt>
                <c:pt idx="1">
                  <c:v>13</c:v>
                </c:pt>
              </c:numCache>
            </c:numRef>
          </c:cat>
          <c:val>
            <c:numRef>
              <c:f>'Screening plots'!$G$29:$G$30</c:f>
              <c:numCache>
                <c:formatCode>#,##0.00000</c:formatCode>
                <c:ptCount val="2"/>
                <c:pt idx="0">
                  <c:v>0.41537711398795479</c:v>
                </c:pt>
                <c:pt idx="1">
                  <c:v>0.40623350275821901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95E-D346-A8DF-35D02E4E5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rule | strategy=-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plots'!$B$53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plots'!$A$54:$A$55</c:f>
              <c:numCache>
                <c:formatCode>General</c:formatCode>
                <c:ptCount val="2"/>
                <c:pt idx="0">
                  <c:v>10</c:v>
                </c:pt>
                <c:pt idx="1">
                  <c:v>13</c:v>
                </c:pt>
              </c:numCache>
            </c:numRef>
          </c:cat>
          <c:val>
            <c:numRef>
              <c:f>'Screening plots'!$B$54:$B$55</c:f>
              <c:numCache>
                <c:formatCode>#,##0.00000</c:formatCode>
                <c:ptCount val="2"/>
                <c:pt idx="0">
                  <c:v>0.46389586911888431</c:v>
                </c:pt>
                <c:pt idx="1">
                  <c:v>0.45419141367340488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B91-AD4F-B363-8C768239A1A3}"/>
            </c:ext>
          </c:extLst>
        </c:ser>
        <c:ser>
          <c:idx val="1"/>
          <c:order val="1"/>
          <c:tx>
            <c:strRef>
              <c:f>'Screening plots'!$C$53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plots'!$A$54:$A$55</c:f>
              <c:numCache>
                <c:formatCode>General</c:formatCode>
                <c:ptCount val="2"/>
                <c:pt idx="0">
                  <c:v>10</c:v>
                </c:pt>
                <c:pt idx="1">
                  <c:v>13</c:v>
                </c:pt>
              </c:numCache>
            </c:numRef>
          </c:cat>
          <c:val>
            <c:numRef>
              <c:f>'Screening plots'!$C$54:$C$55</c:f>
              <c:numCache>
                <c:formatCode>#,##0.00000</c:formatCode>
                <c:ptCount val="2"/>
                <c:pt idx="0">
                  <c:v>0.46243895727702738</c:v>
                </c:pt>
                <c:pt idx="1">
                  <c:v>0.4525393963902074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B91-AD4F-B363-8C768239A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rule | strategy=+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plots'!$F$53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plots'!$E$54:$E$55</c:f>
              <c:numCache>
                <c:formatCode>General</c:formatCode>
                <c:ptCount val="2"/>
                <c:pt idx="0">
                  <c:v>10</c:v>
                </c:pt>
                <c:pt idx="1">
                  <c:v>13</c:v>
                </c:pt>
              </c:numCache>
            </c:numRef>
          </c:cat>
          <c:val>
            <c:numRef>
              <c:f>'Screening plots'!$F$54:$F$55</c:f>
              <c:numCache>
                <c:formatCode>#,##0.00000</c:formatCode>
                <c:ptCount val="2"/>
                <c:pt idx="0">
                  <c:v>0.41576156963041011</c:v>
                </c:pt>
                <c:pt idx="1">
                  <c:v>0.40680295826243318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80-E847-B7F2-0D1AA5B6C185}"/>
            </c:ext>
          </c:extLst>
        </c:ser>
        <c:ser>
          <c:idx val="1"/>
          <c:order val="1"/>
          <c:tx>
            <c:strRef>
              <c:f>'Screening plots'!$G$53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plots'!$E$54:$E$55</c:f>
              <c:numCache>
                <c:formatCode>General</c:formatCode>
                <c:ptCount val="2"/>
                <c:pt idx="0">
                  <c:v>10</c:v>
                </c:pt>
                <c:pt idx="1">
                  <c:v>13</c:v>
                </c:pt>
              </c:numCache>
            </c:numRef>
          </c:cat>
          <c:val>
            <c:numRef>
              <c:f>'Screening plots'!$G$54:$G$55</c:f>
              <c:numCache>
                <c:formatCode>#,##0.00000</c:formatCode>
                <c:ptCount val="2"/>
                <c:pt idx="0">
                  <c:v>0.41537711398795479</c:v>
                </c:pt>
                <c:pt idx="1">
                  <c:v>0.40623350275821901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80-E847-B7F2-0D1AA5B6C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strategy × rule | urgent slots=-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plots'!$B$78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plots'!$A$79:$A$80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plots'!$B$79:$B$80</c:f>
              <c:numCache>
                <c:formatCode>#,##0.00000</c:formatCode>
                <c:ptCount val="2"/>
                <c:pt idx="0">
                  <c:v>0.46389586911888431</c:v>
                </c:pt>
                <c:pt idx="1">
                  <c:v>0.41576156963041011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711-5845-9C9F-5A25E330D825}"/>
            </c:ext>
          </c:extLst>
        </c:ser>
        <c:ser>
          <c:idx val="1"/>
          <c:order val="1"/>
          <c:tx>
            <c:strRef>
              <c:f>'Screening plots'!$C$78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plots'!$A$79:$A$80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plots'!$C$79:$C$80</c:f>
              <c:numCache>
                <c:formatCode>#,##0.00000</c:formatCode>
                <c:ptCount val="2"/>
                <c:pt idx="0">
                  <c:v>0.46243895727702738</c:v>
                </c:pt>
                <c:pt idx="1">
                  <c:v>0.41537711398795479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711-5845-9C9F-5A25E330D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strategy × rule | urgent slots=+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plots'!$F$78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plots'!$E$79:$E$80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plots'!$F$79:$F$80</c:f>
              <c:numCache>
                <c:formatCode>#,##0.00000</c:formatCode>
                <c:ptCount val="2"/>
                <c:pt idx="0">
                  <c:v>0.45419141367340488</c:v>
                </c:pt>
                <c:pt idx="1">
                  <c:v>0.40680295826243318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B12-1D41-ABBB-0B2019E55339}"/>
            </c:ext>
          </c:extLst>
        </c:ser>
        <c:ser>
          <c:idx val="1"/>
          <c:order val="1"/>
          <c:tx>
            <c:strRef>
              <c:f>'Screening plots'!$G$78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plots'!$E$79:$E$80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plots'!$G$79:$G$80</c:f>
              <c:numCache>
                <c:formatCode>#,##0.00000</c:formatCode>
                <c:ptCount val="2"/>
                <c:pt idx="0">
                  <c:v>0.4525393963902074</c:v>
                </c:pt>
                <c:pt idx="1">
                  <c:v>0.40623350275821901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B12-1D41-ABBB-0B2019E55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22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7</xdr:row>
      <xdr:rowOff>0</xdr:rowOff>
    </xdr:from>
    <xdr:ext cx="522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7</xdr:row>
      <xdr:rowOff>0</xdr:rowOff>
    </xdr:from>
    <xdr:ext cx="522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522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4</xdr:col>
      <xdr:colOff>0</xdr:colOff>
      <xdr:row>32</xdr:row>
      <xdr:rowOff>0</xdr:rowOff>
    </xdr:from>
    <xdr:ext cx="5220000" cy="30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57</xdr:row>
      <xdr:rowOff>0</xdr:rowOff>
    </xdr:from>
    <xdr:ext cx="5220000" cy="306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4</xdr:col>
      <xdr:colOff>0</xdr:colOff>
      <xdr:row>57</xdr:row>
      <xdr:rowOff>0</xdr:rowOff>
    </xdr:from>
    <xdr:ext cx="5220000" cy="306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82</xdr:row>
      <xdr:rowOff>0</xdr:rowOff>
    </xdr:from>
    <xdr:ext cx="5220000" cy="306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4</xdr:col>
      <xdr:colOff>0</xdr:colOff>
      <xdr:row>82</xdr:row>
      <xdr:rowOff>0</xdr:rowOff>
    </xdr:from>
    <xdr:ext cx="5220000" cy="306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workbookViewId="0">
      <pane ySplit="3" topLeftCell="A4" activePane="bottomLeft" state="frozen"/>
      <selection pane="bottomLeft" sqref="A1:P1"/>
    </sheetView>
  </sheetViews>
  <sheetFormatPr baseColWidth="10" defaultColWidth="8.83203125" defaultRowHeight="15" x14ac:dyDescent="0.2"/>
  <cols>
    <col min="1" max="1" width="14" customWidth="1"/>
    <col min="2" max="4" width="16" customWidth="1"/>
    <col min="5" max="15" width="14" customWidth="1"/>
    <col min="16" max="16" width="16" customWidth="1"/>
  </cols>
  <sheetData>
    <row r="1" spans="1:16" x14ac:dyDescent="0.2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3" spans="1:16" ht="28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</row>
    <row r="4" spans="1:16" x14ac:dyDescent="0.2">
      <c r="A4" s="2">
        <v>1</v>
      </c>
      <c r="B4" s="3" t="s">
        <v>17</v>
      </c>
      <c r="C4" s="3">
        <v>10</v>
      </c>
      <c r="D4" s="3" t="s">
        <v>17</v>
      </c>
      <c r="E4" s="3">
        <v>1</v>
      </c>
      <c r="F4" s="3" t="s">
        <v>17</v>
      </c>
      <c r="G4" s="3">
        <v>1</v>
      </c>
      <c r="H4" s="4">
        <v>0.48327135130725452</v>
      </c>
      <c r="I4" s="4">
        <v>0.46023364502374531</v>
      </c>
      <c r="J4" s="4">
        <v>0.46396068518144701</v>
      </c>
      <c r="K4" s="4">
        <v>0.46309581998454091</v>
      </c>
      <c r="L4" s="4">
        <v>0.45273981742144931</v>
      </c>
      <c r="M4" s="4">
        <v>0.46137056713628949</v>
      </c>
      <c r="N4" s="4">
        <v>0.46567369502400691</v>
      </c>
      <c r="O4" s="4">
        <v>0.46082137187234068</v>
      </c>
      <c r="P4" s="4">
        <v>0.46389586911888431</v>
      </c>
    </row>
    <row r="5" spans="1:16" x14ac:dyDescent="0.2">
      <c r="A5" s="2">
        <v>2</v>
      </c>
      <c r="B5" s="3" t="s">
        <v>18</v>
      </c>
      <c r="C5" s="3">
        <v>13</v>
      </c>
      <c r="D5" s="3" t="s">
        <v>17</v>
      </c>
      <c r="E5" s="3">
        <v>1</v>
      </c>
      <c r="F5" s="3" t="s">
        <v>17</v>
      </c>
      <c r="G5" s="3">
        <v>1</v>
      </c>
      <c r="H5" s="4">
        <v>0.46871363370108382</v>
      </c>
      <c r="I5" s="4">
        <v>0.44420855325140812</v>
      </c>
      <c r="J5" s="4">
        <v>0.45298698512635582</v>
      </c>
      <c r="K5" s="4">
        <v>0.44494537068235968</v>
      </c>
      <c r="L5" s="4">
        <v>0.45579053389542579</v>
      </c>
      <c r="M5" s="4">
        <v>0.46148872002222041</v>
      </c>
      <c r="N5" s="4">
        <v>0.45073000217622561</v>
      </c>
      <c r="O5" s="4">
        <v>0.45466751053216031</v>
      </c>
      <c r="P5" s="4">
        <v>0.45419141367340488</v>
      </c>
    </row>
    <row r="6" spans="1:16" x14ac:dyDescent="0.2">
      <c r="A6" s="2">
        <v>3</v>
      </c>
      <c r="B6" s="3" t="s">
        <v>17</v>
      </c>
      <c r="C6" s="3">
        <v>10</v>
      </c>
      <c r="D6" s="3" t="s">
        <v>18</v>
      </c>
      <c r="E6" s="3">
        <v>2</v>
      </c>
      <c r="F6" s="3" t="s">
        <v>17</v>
      </c>
      <c r="G6" s="3">
        <v>1</v>
      </c>
      <c r="H6" s="4">
        <v>0.41387682599320869</v>
      </c>
      <c r="I6" s="4">
        <v>0.412855973762837</v>
      </c>
      <c r="J6" s="4">
        <v>0.41589611669818127</v>
      </c>
      <c r="K6" s="4">
        <v>0.41875398862958918</v>
      </c>
      <c r="L6" s="4">
        <v>0.41069055542705379</v>
      </c>
      <c r="M6" s="4">
        <v>0.41848922357607138</v>
      </c>
      <c r="N6" s="4">
        <v>0.40970470416862681</v>
      </c>
      <c r="O6" s="4">
        <v>0.42582516878771282</v>
      </c>
      <c r="P6" s="4">
        <v>0.41576156963041011</v>
      </c>
    </row>
    <row r="7" spans="1:16" x14ac:dyDescent="0.2">
      <c r="A7" s="2">
        <v>4</v>
      </c>
      <c r="B7" s="3" t="s">
        <v>18</v>
      </c>
      <c r="C7" s="3">
        <v>13</v>
      </c>
      <c r="D7" s="3" t="s">
        <v>18</v>
      </c>
      <c r="E7" s="3">
        <v>2</v>
      </c>
      <c r="F7" s="3" t="s">
        <v>17</v>
      </c>
      <c r="G7" s="3">
        <v>1</v>
      </c>
      <c r="H7" s="4">
        <v>0.41512242923217368</v>
      </c>
      <c r="I7" s="4">
        <v>0.40855329278160452</v>
      </c>
      <c r="J7" s="4">
        <v>0.41340173774391747</v>
      </c>
      <c r="K7" s="4">
        <v>0.40431060141956421</v>
      </c>
      <c r="L7" s="4">
        <v>0.38562681630978118</v>
      </c>
      <c r="M7" s="4">
        <v>0.40800431701639239</v>
      </c>
      <c r="N7" s="4">
        <v>0.4137502906638843</v>
      </c>
      <c r="O7" s="4">
        <v>0.40565418093214811</v>
      </c>
      <c r="P7" s="4">
        <v>0.40680295826243318</v>
      </c>
    </row>
    <row r="8" spans="1:16" x14ac:dyDescent="0.2">
      <c r="A8" s="2">
        <v>5</v>
      </c>
      <c r="B8" s="3" t="s">
        <v>17</v>
      </c>
      <c r="C8" s="3">
        <v>10</v>
      </c>
      <c r="D8" s="3" t="s">
        <v>17</v>
      </c>
      <c r="E8" s="3">
        <v>1</v>
      </c>
      <c r="F8" s="3" t="s">
        <v>18</v>
      </c>
      <c r="G8" s="3">
        <v>2</v>
      </c>
      <c r="H8" s="4">
        <v>0.48143089489964802</v>
      </c>
      <c r="I8" s="4">
        <v>0.45842418372538629</v>
      </c>
      <c r="J8" s="4">
        <v>0.46161416351196422</v>
      </c>
      <c r="K8" s="4">
        <v>0.4619216257141292</v>
      </c>
      <c r="L8" s="4">
        <v>0.45130740265649089</v>
      </c>
      <c r="M8" s="4">
        <v>0.45949806111861502</v>
      </c>
      <c r="N8" s="4">
        <v>0.46532346688640591</v>
      </c>
      <c r="O8" s="4">
        <v>0.45999185970357992</v>
      </c>
      <c r="P8" s="4">
        <v>0.46243895727702738</v>
      </c>
    </row>
    <row r="9" spans="1:16" x14ac:dyDescent="0.2">
      <c r="A9" s="2">
        <v>6</v>
      </c>
      <c r="B9" s="3" t="s">
        <v>18</v>
      </c>
      <c r="C9" s="3">
        <v>13</v>
      </c>
      <c r="D9" s="3" t="s">
        <v>17</v>
      </c>
      <c r="E9" s="3">
        <v>1</v>
      </c>
      <c r="F9" s="3" t="s">
        <v>18</v>
      </c>
      <c r="G9" s="3">
        <v>2</v>
      </c>
      <c r="H9" s="4">
        <v>0.46706800875154653</v>
      </c>
      <c r="I9" s="4">
        <v>0.4426715651607292</v>
      </c>
      <c r="J9" s="4">
        <v>0.45124606347462992</v>
      </c>
      <c r="K9" s="4">
        <v>0.44329858251899751</v>
      </c>
      <c r="L9" s="4">
        <v>0.45448323967827919</v>
      </c>
      <c r="M9" s="4">
        <v>0.46025239948834051</v>
      </c>
      <c r="N9" s="4">
        <v>0.44897099428576381</v>
      </c>
      <c r="O9" s="4">
        <v>0.45232431776337262</v>
      </c>
      <c r="P9" s="4">
        <v>0.4525393963902074</v>
      </c>
    </row>
    <row r="10" spans="1:16" x14ac:dyDescent="0.2">
      <c r="A10" s="2">
        <v>7</v>
      </c>
      <c r="B10" s="3" t="s">
        <v>17</v>
      </c>
      <c r="C10" s="3">
        <v>10</v>
      </c>
      <c r="D10" s="3" t="s">
        <v>18</v>
      </c>
      <c r="E10" s="3">
        <v>2</v>
      </c>
      <c r="F10" s="3" t="s">
        <v>18</v>
      </c>
      <c r="G10" s="3">
        <v>2</v>
      </c>
      <c r="H10" s="4">
        <v>0.41351044115255398</v>
      </c>
      <c r="I10" s="4">
        <v>0.41172874463407338</v>
      </c>
      <c r="J10" s="4">
        <v>0.41583038054427879</v>
      </c>
      <c r="K10" s="4">
        <v>0.4184281532304252</v>
      </c>
      <c r="L10" s="4">
        <v>0.4102552480351358</v>
      </c>
      <c r="M10" s="4">
        <v>0.4184882004778458</v>
      </c>
      <c r="N10" s="4">
        <v>0.40929708376618662</v>
      </c>
      <c r="O10" s="4">
        <v>0.42547866006313922</v>
      </c>
      <c r="P10" s="4">
        <v>0.41537711398795479</v>
      </c>
    </row>
    <row r="11" spans="1:16" x14ac:dyDescent="0.2">
      <c r="A11" s="2">
        <v>8</v>
      </c>
      <c r="B11" s="3" t="s">
        <v>18</v>
      </c>
      <c r="C11" s="3">
        <v>13</v>
      </c>
      <c r="D11" s="3" t="s">
        <v>18</v>
      </c>
      <c r="E11" s="3">
        <v>2</v>
      </c>
      <c r="F11" s="3" t="s">
        <v>18</v>
      </c>
      <c r="G11" s="3">
        <v>2</v>
      </c>
      <c r="H11" s="4">
        <v>0.41498660142026278</v>
      </c>
      <c r="I11" s="4">
        <v>0.40713143278026209</v>
      </c>
      <c r="J11" s="4">
        <v>0.41348580423385289</v>
      </c>
      <c r="K11" s="4">
        <v>0.40348532267118198</v>
      </c>
      <c r="L11" s="4">
        <v>0.38459038802382162</v>
      </c>
      <c r="M11" s="4">
        <v>0.40745107432617539</v>
      </c>
      <c r="N11" s="4">
        <v>0.41335197863298317</v>
      </c>
      <c r="O11" s="4">
        <v>0.40538541997721178</v>
      </c>
      <c r="P11" s="4">
        <v>0.40623350275821901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abSelected="1" workbookViewId="0">
      <pane ySplit="3" topLeftCell="A4" activePane="bottomLeft" state="frozen"/>
      <selection pane="bottomLeft" activeCell="H22" sqref="H22"/>
    </sheetView>
  </sheetViews>
  <sheetFormatPr baseColWidth="10" defaultColWidth="8.83203125" defaultRowHeight="15" x14ac:dyDescent="0.2"/>
  <cols>
    <col min="1" max="1" width="12" customWidth="1"/>
    <col min="2" max="4" width="18" customWidth="1"/>
    <col min="5" max="8" width="22" customWidth="1"/>
  </cols>
  <sheetData>
    <row r="1" spans="1:8" x14ac:dyDescent="0.2">
      <c r="A1" s="8" t="s">
        <v>19</v>
      </c>
      <c r="B1" s="9"/>
      <c r="C1" s="9"/>
      <c r="D1" s="9"/>
      <c r="E1" s="9"/>
      <c r="F1" s="9"/>
      <c r="G1" s="9"/>
      <c r="H1" s="9"/>
    </row>
    <row r="3" spans="1:8" x14ac:dyDescent="0.2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</row>
    <row r="4" spans="1:8" x14ac:dyDescent="0.2">
      <c r="A4" s="3">
        <v>1</v>
      </c>
      <c r="B4" s="4">
        <v>-6.5497100618995968E-3</v>
      </c>
      <c r="C4" s="4">
        <v>-6.0746897715333398E-2</v>
      </c>
      <c r="D4" s="4">
        <v>-9.970735024273647E-4</v>
      </c>
      <c r="E4" s="4">
        <v>7.9105918152365257E-3</v>
      </c>
      <c r="F4" s="4">
        <v>1.0634712170322361E-4</v>
      </c>
      <c r="G4" s="4">
        <v>7.4596717614452968E-4</v>
      </c>
      <c r="H4" s="4">
        <v>8.9313926686512835E-6</v>
      </c>
    </row>
    <row r="5" spans="1:8" x14ac:dyDescent="0.2">
      <c r="A5" s="3">
        <v>2</v>
      </c>
      <c r="B5" s="4">
        <v>-1.016942579300951E-2</v>
      </c>
      <c r="C5" s="4">
        <v>-4.1317125800622939E-2</v>
      </c>
      <c r="D5" s="4">
        <v>-1.473884629785954E-3</v>
      </c>
      <c r="E5" s="4">
        <v>5.7194293754876252E-3</v>
      </c>
      <c r="F5" s="4">
        <v>-5.5394162246785728E-6</v>
      </c>
      <c r="G5" s="4">
        <v>1.9934006473296131E-4</v>
      </c>
      <c r="H5" s="4">
        <v>-1.417760200647239E-4</v>
      </c>
    </row>
    <row r="6" spans="1:8" x14ac:dyDescent="0.2">
      <c r="A6" s="3">
        <v>3</v>
      </c>
      <c r="B6" s="4">
        <v>-6.5451888392787788E-3</v>
      </c>
      <c r="C6" s="4">
        <v>-4.2798464518541517E-2</v>
      </c>
      <c r="D6" s="4">
        <v>-1.017278246293898E-3</v>
      </c>
      <c r="E6" s="4">
        <v>4.1257112069339316E-3</v>
      </c>
      <c r="F6" s="4">
        <v>1.8885066539868489E-4</v>
      </c>
      <c r="G6" s="4">
        <v>1.0264434143104489E-3</v>
      </c>
      <c r="H6" s="4">
        <v>-1.139493434797328E-4</v>
      </c>
    </row>
    <row r="7" spans="1:8" x14ac:dyDescent="0.2">
      <c r="A7" s="3">
        <v>4</v>
      </c>
      <c r="B7" s="4">
        <v>-1.65399275666453E-2</v>
      </c>
      <c r="C7" s="4">
        <v>-4.2070833237316668E-2</v>
      </c>
      <c r="D7" s="4">
        <v>-9.9302414533002092E-4</v>
      </c>
      <c r="E7" s="4">
        <v>1.84681868201117E-3</v>
      </c>
      <c r="F7" s="4">
        <v>-2.4300931054216379E-4</v>
      </c>
      <c r="G7" s="4">
        <v>4.1746707155694562E-4</v>
      </c>
      <c r="H7" s="4">
        <v>-6.7123640669353168E-6</v>
      </c>
    </row>
    <row r="8" spans="1:8" x14ac:dyDescent="0.2">
      <c r="A8" s="3">
        <v>5</v>
      </c>
      <c r="B8" s="4">
        <v>-1.11255114082055E-2</v>
      </c>
      <c r="C8" s="4">
        <v>-5.5789496463963237E-2</v>
      </c>
      <c r="D8" s="4">
        <v>-1.05286116499563E-3</v>
      </c>
      <c r="E8" s="4">
        <v>-1.423878815608795E-2</v>
      </c>
      <c r="F8" s="4">
        <v>-1.190000865574636E-4</v>
      </c>
      <c r="G8" s="4">
        <v>3.169933260567942E-4</v>
      </c>
      <c r="H8" s="4">
        <v>-1.8156036046332311E-4</v>
      </c>
    </row>
    <row r="9" spans="1:8" x14ac:dyDescent="0.2">
      <c r="A9" s="3">
        <v>6</v>
      </c>
      <c r="B9" s="4">
        <v>-5.1623853639232581E-3</v>
      </c>
      <c r="C9" s="4">
        <v>-4.7544233092245043E-2</v>
      </c>
      <c r="D9" s="4">
        <v>-9.1577308499919685E-4</v>
      </c>
      <c r="E9" s="4">
        <v>-5.5986309917514096E-3</v>
      </c>
      <c r="F9" s="4">
        <v>2.0991472950801501E-5</v>
      </c>
      <c r="G9" s="4">
        <v>6.3864019077795875E-4</v>
      </c>
      <c r="H9" s="4">
        <v>-2.9710126894648409E-4</v>
      </c>
    </row>
    <row r="10" spans="1:8" x14ac:dyDescent="0.2">
      <c r="A10" s="3">
        <v>7</v>
      </c>
      <c r="B10" s="4">
        <v>-5.7989210215923237E-3</v>
      </c>
      <c r="C10" s="4">
        <v>-4.6148525285180292E-2</v>
      </c>
      <c r="D10" s="4">
        <v>-7.2879211535097077E-4</v>
      </c>
      <c r="E10" s="4">
        <v>9.8491617026193745E-3</v>
      </c>
      <c r="F10" s="4">
        <v>-3.4986784533042048E-4</v>
      </c>
      <c r="G10" s="4">
        <v>3.2582589868036799E-4</v>
      </c>
      <c r="H10" s="4">
        <v>3.5452203109997971E-4</v>
      </c>
    </row>
    <row r="11" spans="1:8" x14ac:dyDescent="0.2">
      <c r="A11" s="3">
        <v>8</v>
      </c>
      <c r="B11" s="4">
        <v>-1.352140780546995E-2</v>
      </c>
      <c r="C11" s="4">
        <v>-4.1365407527810448E-2</v>
      </c>
      <c r="D11" s="4">
        <v>-9.4699365426456628E-4</v>
      </c>
      <c r="E11" s="4">
        <v>-6.6107061652760646E-3</v>
      </c>
      <c r="F11" s="4">
        <v>-3.5898320759739089E-4</v>
      </c>
      <c r="G11" s="4">
        <v>6.3935881450963294E-4</v>
      </c>
      <c r="H11" s="4">
        <v>3.9785709241602069E-4</v>
      </c>
    </row>
    <row r="14" spans="1:8" x14ac:dyDescent="0.2">
      <c r="A14" s="10" t="s">
        <v>28</v>
      </c>
      <c r="B14" s="9"/>
      <c r="C14" s="9"/>
      <c r="D14" s="9"/>
      <c r="E14" s="9"/>
      <c r="F14" s="9"/>
      <c r="G14" s="9"/>
    </row>
    <row r="15" spans="1:8" x14ac:dyDescent="0.2">
      <c r="A15" s="1" t="s">
        <v>29</v>
      </c>
      <c r="B15" s="1" t="s">
        <v>30</v>
      </c>
      <c r="C15" s="1" t="s">
        <v>31</v>
      </c>
      <c r="D15" s="13" t="s">
        <v>65</v>
      </c>
      <c r="E15" s="1" t="s">
        <v>32</v>
      </c>
      <c r="F15" s="1" t="s">
        <v>33</v>
      </c>
      <c r="G15" s="1" t="s">
        <v>34</v>
      </c>
      <c r="H15" s="1" t="s">
        <v>35</v>
      </c>
    </row>
    <row r="16" spans="1:8" ht="28" x14ac:dyDescent="0.2">
      <c r="A16" s="5" t="s">
        <v>21</v>
      </c>
      <c r="B16" s="4">
        <v>-9.426559732503028E-3</v>
      </c>
      <c r="C16" s="4">
        <v>4.1183834793145479E-3</v>
      </c>
      <c r="D16" s="4">
        <f>_xlfn.T.INV.2T(0.1/7,7)</f>
        <v>3.2383460877280466</v>
      </c>
      <c r="E16" s="4">
        <f>C16*D16/SQRT(4)</f>
        <v>6.6683755140010429E-3</v>
      </c>
      <c r="F16" s="4">
        <f>B16-E16</f>
        <v>-1.6094935246504072E-2</v>
      </c>
      <c r="G16" s="14">
        <f>B16+E16</f>
        <v>-2.7581842185019851E-3</v>
      </c>
      <c r="H16" s="15" t="s">
        <v>36</v>
      </c>
    </row>
    <row r="17" spans="1:8" ht="16" x14ac:dyDescent="0.2">
      <c r="A17" s="5" t="s">
        <v>22</v>
      </c>
      <c r="B17" s="4">
        <v>-4.7222622955126692E-2</v>
      </c>
      <c r="C17" s="4">
        <v>7.2982427705307953E-3</v>
      </c>
      <c r="D17" s="4">
        <f t="shared" ref="D17:D22" si="0">_xlfn.T.INV.2T(0.1/7,7)</f>
        <v>3.2383460877280466</v>
      </c>
      <c r="E17" s="4">
        <f t="shared" ref="E17:E22" si="1">C17*D17/SQRT(4)</f>
        <v>1.181711796161895E-2</v>
      </c>
      <c r="F17" s="4">
        <f t="shared" ref="F17:F21" si="2">B17-E17</f>
        <v>-5.9039740916745645E-2</v>
      </c>
      <c r="G17" s="14">
        <f t="shared" ref="G17:G22" si="3">B17+E17</f>
        <v>-3.5405504993507739E-2</v>
      </c>
      <c r="H17" s="15" t="s">
        <v>36</v>
      </c>
    </row>
    <row r="18" spans="1:8" ht="16" x14ac:dyDescent="0.2">
      <c r="A18" s="5" t="s">
        <v>23</v>
      </c>
      <c r="B18" s="4">
        <v>-1.0157100679309501E-3</v>
      </c>
      <c r="C18" s="4">
        <v>2.1016993891437191E-4</v>
      </c>
      <c r="D18" s="4">
        <f t="shared" si="0"/>
        <v>3.2383460877280466</v>
      </c>
      <c r="E18" s="4">
        <f t="shared" si="1"/>
        <v>3.4030149972069938E-4</v>
      </c>
      <c r="F18" s="4">
        <f t="shared" si="2"/>
        <v>-1.3560115676516495E-3</v>
      </c>
      <c r="G18" s="14">
        <f t="shared" si="3"/>
        <v>-6.7540856821025072E-4</v>
      </c>
      <c r="H18" s="15" t="s">
        <v>36</v>
      </c>
    </row>
    <row r="19" spans="1:8" ht="28" x14ac:dyDescent="0.2">
      <c r="A19" s="5" t="s">
        <v>37</v>
      </c>
      <c r="B19" s="4">
        <v>3.7544843364665029E-4</v>
      </c>
      <c r="C19" s="4">
        <v>8.3613827857496568E-3</v>
      </c>
      <c r="D19" s="4">
        <f t="shared" si="0"/>
        <v>3.2383460877280466</v>
      </c>
      <c r="E19" s="4">
        <f t="shared" si="1"/>
        <v>1.3538525616114518E-2</v>
      </c>
      <c r="F19" s="4">
        <f t="shared" si="2"/>
        <v>-1.3163077182467868E-2</v>
      </c>
      <c r="G19" s="14">
        <f t="shared" si="3"/>
        <v>1.3913974049761168E-2</v>
      </c>
      <c r="H19" s="16" t="s">
        <v>38</v>
      </c>
    </row>
    <row r="20" spans="1:8" ht="28" x14ac:dyDescent="0.2">
      <c r="A20" s="5" t="s">
        <v>39</v>
      </c>
      <c r="B20" s="4">
        <v>-9.5026325774925924E-5</v>
      </c>
      <c r="C20" s="4">
        <v>2.0691495444350561E-4</v>
      </c>
      <c r="D20" s="4">
        <f t="shared" si="0"/>
        <v>3.2383460877280466</v>
      </c>
      <c r="E20" s="4">
        <f>C20*D20/SQRT(4)</f>
        <v>3.3503111660727669E-4</v>
      </c>
      <c r="F20" s="4">
        <f t="shared" si="2"/>
        <v>-4.3005744238220261E-4</v>
      </c>
      <c r="G20" s="17">
        <f>B20+E20</f>
        <v>2.4000479083235077E-4</v>
      </c>
      <c r="H20" s="16" t="s">
        <v>38</v>
      </c>
    </row>
    <row r="21" spans="1:8" ht="28" x14ac:dyDescent="0.2">
      <c r="A21" s="5" t="s">
        <v>40</v>
      </c>
      <c r="B21" s="4">
        <v>5.3875449459620493E-4</v>
      </c>
      <c r="C21" s="4">
        <v>2.73940910289323E-4</v>
      </c>
      <c r="D21" s="4">
        <f t="shared" si="0"/>
        <v>3.2383460877280466</v>
      </c>
      <c r="E21" s="4">
        <f t="shared" si="1"/>
        <v>4.4355773755204447E-4</v>
      </c>
      <c r="F21" s="4">
        <f t="shared" si="2"/>
        <v>9.5196757044160461E-5</v>
      </c>
      <c r="G21" s="14">
        <f t="shared" si="3"/>
        <v>9.8231223214824935E-4</v>
      </c>
      <c r="H21" s="15" t="s">
        <v>36</v>
      </c>
    </row>
    <row r="22" spans="1:8" ht="28" x14ac:dyDescent="0.2">
      <c r="A22" s="5" t="s">
        <v>41</v>
      </c>
      <c r="B22" s="4">
        <v>2.52639489543155E-6</v>
      </c>
      <c r="C22" s="4">
        <v>2.5024791193764252E-4</v>
      </c>
      <c r="D22" s="4">
        <f t="shared" si="0"/>
        <v>3.2383460877280466</v>
      </c>
      <c r="E22" s="4">
        <f t="shared" si="1"/>
        <v>4.0519467329268869E-4</v>
      </c>
      <c r="F22" s="4">
        <f>B22-E22</f>
        <v>-4.0266827839725714E-4</v>
      </c>
      <c r="G22" s="14">
        <f t="shared" si="3"/>
        <v>4.0772106818812024E-4</v>
      </c>
      <c r="H22" s="16" t="s">
        <v>38</v>
      </c>
    </row>
  </sheetData>
  <mergeCells count="2">
    <mergeCell ref="A14:G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7" width="15" customWidth="1"/>
  </cols>
  <sheetData>
    <row r="1" spans="1:17" x14ac:dyDescent="0.2">
      <c r="A1" s="8" t="s">
        <v>42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3" spans="1:17" x14ac:dyDescent="0.2">
      <c r="A3" s="1" t="s">
        <v>43</v>
      </c>
    </row>
    <row r="4" spans="1:17" x14ac:dyDescent="0.2">
      <c r="A4" s="1" t="s">
        <v>44</v>
      </c>
      <c r="B4" s="1" t="s">
        <v>45</v>
      </c>
      <c r="C4" s="1" t="s">
        <v>46</v>
      </c>
      <c r="E4" s="1" t="s">
        <v>44</v>
      </c>
      <c r="F4" s="1" t="s">
        <v>45</v>
      </c>
      <c r="G4" s="1" t="s">
        <v>47</v>
      </c>
      <c r="I4" s="1" t="s">
        <v>44</v>
      </c>
      <c r="J4" s="1" t="s">
        <v>45</v>
      </c>
      <c r="K4" s="1" t="s">
        <v>48</v>
      </c>
    </row>
    <row r="5" spans="1:17" x14ac:dyDescent="0.2">
      <c r="A5" s="3" t="s">
        <v>17</v>
      </c>
      <c r="B5" s="4">
        <v>0.43936837750356922</v>
      </c>
      <c r="C5" s="6">
        <v>10</v>
      </c>
      <c r="E5" s="3" t="s">
        <v>17</v>
      </c>
      <c r="F5" s="4">
        <v>0.45826640911488098</v>
      </c>
      <c r="G5" s="6">
        <v>1</v>
      </c>
      <c r="I5" s="3" t="s">
        <v>17</v>
      </c>
      <c r="J5" s="4">
        <v>0.43516295267128308</v>
      </c>
      <c r="K5" s="6">
        <v>1</v>
      </c>
    </row>
    <row r="6" spans="1:17" x14ac:dyDescent="0.2">
      <c r="A6" s="3" t="s">
        <v>18</v>
      </c>
      <c r="B6" s="4">
        <v>0.4299418177710661</v>
      </c>
      <c r="C6" s="6">
        <v>13</v>
      </c>
      <c r="E6" s="3" t="s">
        <v>18</v>
      </c>
      <c r="F6" s="4">
        <v>0.41104378615975418</v>
      </c>
      <c r="G6" s="6">
        <v>2</v>
      </c>
      <c r="I6" s="3" t="s">
        <v>18</v>
      </c>
      <c r="J6" s="4">
        <v>0.43414724260335208</v>
      </c>
      <c r="K6" s="6">
        <v>2</v>
      </c>
    </row>
    <row r="25" spans="1:8" ht="28" x14ac:dyDescent="0.2">
      <c r="A25" s="1" t="s">
        <v>49</v>
      </c>
    </row>
    <row r="27" spans="1:8" x14ac:dyDescent="0.2">
      <c r="A27" s="10" t="s">
        <v>50</v>
      </c>
      <c r="B27" s="11"/>
      <c r="C27" s="12"/>
      <c r="E27" s="10" t="s">
        <v>51</v>
      </c>
      <c r="F27" s="11"/>
      <c r="G27" s="12"/>
    </row>
    <row r="28" spans="1:8" x14ac:dyDescent="0.2">
      <c r="A28" s="1" t="s">
        <v>46</v>
      </c>
      <c r="B28" s="1" t="s">
        <v>52</v>
      </c>
      <c r="C28" s="1" t="s">
        <v>53</v>
      </c>
      <c r="D28" s="1" t="s">
        <v>54</v>
      </c>
      <c r="E28" s="1" t="s">
        <v>46</v>
      </c>
      <c r="F28" s="1" t="s">
        <v>52</v>
      </c>
      <c r="G28" s="1" t="s">
        <v>53</v>
      </c>
      <c r="H28" s="1" t="s">
        <v>54</v>
      </c>
    </row>
    <row r="29" spans="1:8" x14ac:dyDescent="0.2">
      <c r="A29" s="3">
        <v>10</v>
      </c>
      <c r="B29" s="4">
        <v>0.46389586911888431</v>
      </c>
      <c r="C29" s="4">
        <v>0.41576156963041011</v>
      </c>
      <c r="E29" s="3">
        <v>10</v>
      </c>
      <c r="F29" s="4">
        <v>0.46243895727702738</v>
      </c>
      <c r="G29" s="4">
        <v>0.41537711398795479</v>
      </c>
    </row>
    <row r="30" spans="1:8" x14ac:dyDescent="0.2">
      <c r="A30" s="3">
        <v>13</v>
      </c>
      <c r="B30" s="4">
        <v>0.45419141367340488</v>
      </c>
      <c r="C30" s="4">
        <v>0.40680295826243318</v>
      </c>
      <c r="E30" s="3">
        <v>13</v>
      </c>
      <c r="F30" s="4">
        <v>0.4525393963902074</v>
      </c>
      <c r="G30" s="4">
        <v>0.40623350275821901</v>
      </c>
    </row>
    <row r="52" spans="1:8" x14ac:dyDescent="0.2">
      <c r="A52" s="10" t="s">
        <v>55</v>
      </c>
      <c r="B52" s="11"/>
      <c r="C52" s="12"/>
      <c r="E52" s="10" t="s">
        <v>56</v>
      </c>
      <c r="F52" s="11"/>
      <c r="G52" s="12"/>
    </row>
    <row r="53" spans="1:8" x14ac:dyDescent="0.2">
      <c r="A53" s="1" t="s">
        <v>46</v>
      </c>
      <c r="B53" s="1" t="s">
        <v>57</v>
      </c>
      <c r="C53" s="1" t="s">
        <v>58</v>
      </c>
      <c r="D53" s="1" t="s">
        <v>59</v>
      </c>
      <c r="E53" s="1" t="s">
        <v>46</v>
      </c>
      <c r="F53" s="1" t="s">
        <v>57</v>
      </c>
      <c r="G53" s="1" t="s">
        <v>58</v>
      </c>
      <c r="H53" s="1" t="s">
        <v>59</v>
      </c>
    </row>
    <row r="54" spans="1:8" x14ac:dyDescent="0.2">
      <c r="A54" s="3">
        <v>10</v>
      </c>
      <c r="B54" s="4">
        <v>0.46389586911888431</v>
      </c>
      <c r="C54" s="4">
        <v>0.46243895727702738</v>
      </c>
      <c r="E54" s="3">
        <v>10</v>
      </c>
      <c r="F54" s="4">
        <v>0.41576156963041011</v>
      </c>
      <c r="G54" s="4">
        <v>0.41537711398795479</v>
      </c>
    </row>
    <row r="55" spans="1:8" x14ac:dyDescent="0.2">
      <c r="A55" s="3">
        <v>13</v>
      </c>
      <c r="B55" s="4">
        <v>0.45419141367340488</v>
      </c>
      <c r="C55" s="4">
        <v>0.4525393963902074</v>
      </c>
      <c r="E55" s="3">
        <v>13</v>
      </c>
      <c r="F55" s="4">
        <v>0.40680295826243318</v>
      </c>
      <c r="G55" s="4">
        <v>0.40623350275821901</v>
      </c>
    </row>
    <row r="77" spans="1:8" x14ac:dyDescent="0.2">
      <c r="A77" s="10" t="s">
        <v>60</v>
      </c>
      <c r="B77" s="11"/>
      <c r="C77" s="12"/>
      <c r="E77" s="10" t="s">
        <v>61</v>
      </c>
      <c r="F77" s="11"/>
      <c r="G77" s="12"/>
    </row>
    <row r="78" spans="1:8" ht="28" x14ac:dyDescent="0.2">
      <c r="A78" s="1" t="s">
        <v>47</v>
      </c>
      <c r="B78" s="1" t="s">
        <v>57</v>
      </c>
      <c r="C78" s="1" t="s">
        <v>58</v>
      </c>
      <c r="D78" s="1" t="s">
        <v>62</v>
      </c>
      <c r="E78" s="1" t="s">
        <v>47</v>
      </c>
      <c r="F78" s="1" t="s">
        <v>57</v>
      </c>
      <c r="G78" s="1" t="s">
        <v>58</v>
      </c>
      <c r="H78" s="1" t="s">
        <v>62</v>
      </c>
    </row>
    <row r="79" spans="1:8" x14ac:dyDescent="0.2">
      <c r="A79" s="3">
        <v>1</v>
      </c>
      <c r="B79" s="4">
        <v>0.46389586911888431</v>
      </c>
      <c r="C79" s="4">
        <v>0.46243895727702738</v>
      </c>
      <c r="E79" s="3">
        <v>1</v>
      </c>
      <c r="F79" s="4">
        <v>0.45419141367340488</v>
      </c>
      <c r="G79" s="4">
        <v>0.4525393963902074</v>
      </c>
    </row>
    <row r="80" spans="1:8" x14ac:dyDescent="0.2">
      <c r="A80" s="3">
        <v>2</v>
      </c>
      <c r="B80" s="4">
        <v>0.41576156963041011</v>
      </c>
      <c r="C80" s="4">
        <v>0.41537711398795479</v>
      </c>
      <c r="E80" s="3">
        <v>2</v>
      </c>
      <c r="F80" s="4">
        <v>0.40680295826243318</v>
      </c>
      <c r="G80" s="4">
        <v>0.40623350275821901</v>
      </c>
    </row>
    <row r="110" spans="1:1" ht="28" x14ac:dyDescent="0.2">
      <c r="A110" s="1" t="s">
        <v>63</v>
      </c>
    </row>
    <row r="111" spans="1:1" ht="208" x14ac:dyDescent="0.2">
      <c r="A111" s="7" t="s">
        <v>64</v>
      </c>
    </row>
  </sheetData>
  <mergeCells count="7">
    <mergeCell ref="A1:Q1"/>
    <mergeCell ref="A52:C52"/>
    <mergeCell ref="E77:G77"/>
    <mergeCell ref="E52:G52"/>
    <mergeCell ref="E27:G27"/>
    <mergeCell ref="A27:C27"/>
    <mergeCell ref="A77:C7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Screening design</vt:lpstr>
      <vt:lpstr>Screening effects</vt:lpstr>
      <vt:lpstr>Screening 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Hoeckman</cp:lastModifiedBy>
  <dcterms:created xsi:type="dcterms:W3CDTF">2026-05-06T16:49:55Z</dcterms:created>
  <dcterms:modified xsi:type="dcterms:W3CDTF">2026-05-06T16:56:49Z</dcterms:modified>
</cp:coreProperties>
</file>