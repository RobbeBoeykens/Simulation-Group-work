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FA501CAA-4A4E-A141-A2E3-0D2BC611315F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2" l="1"/>
  <c r="E12" i="2"/>
  <c r="D12" i="2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G12" i="2" l="1"/>
  <c r="F12" i="2"/>
  <c r="G13" i="2"/>
  <c r="F13" i="2"/>
  <c r="G14" i="2"/>
  <c r="F14" i="2"/>
  <c r="G15" i="2"/>
  <c r="F15" i="2"/>
  <c r="G16" i="2"/>
  <c r="F16" i="2"/>
  <c r="G17" i="2"/>
  <c r="F17" i="2"/>
  <c r="G18" i="2"/>
</calcChain>
</file>

<file path=xl/sharedStrings.xml><?xml version="1.0" encoding="utf-8"?>
<sst xmlns="http://schemas.openxmlformats.org/spreadsheetml/2006/main" count="119" uniqueCount="63">
  <si>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</si>
  <si>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</si>
  <si>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</si>
  <si>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</si>
  <si>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</si>
  <si>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</si>
  <si>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</si>
  <si>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</si>
  <si>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</si>
  <si>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</si>
  <si>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</si>
  <si>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</si>
  <si>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</si>
  <si>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</si>
  <si>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</si>
  <si>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</si>
  <si>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</si>
  <si>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</si>
  <si>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</si>
  <si>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</si>
  <si>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</si>
  <si>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</si>
  <si>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</si>
  <si>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</si>
  <si>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</si>
  <si>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</si>
  <si>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</si>
  <si>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</si>
  <si>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</si>
  <si>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</si>
  <si>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</si>
  <si>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</si>
  <si>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</si>
  <si>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</si>
  <si>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</si>
  <si>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</si>
  <si>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</si>
  <si>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</si>
  <si>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</si>
  <si>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</si>
  <si>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</si>
  <si>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</si>
  <si>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</si>
  <si>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</si>
  <si>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</si>
  <si>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</si>
  <si>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</si>
  <si>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</si>
  <si>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</si>
  <si>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</si>
  <si>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</si>
  <si>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(2)</t>
  </si>
  <si>
    <t>Interaction urgent slots × rule | strategy = + (3)</t>
  </si>
  <si>
    <t>rule -</t>
  </si>
  <si>
    <t>rule +</t>
  </si>
  <si>
    <t>fixed strategy</t>
  </si>
  <si>
    <t>Interaction strategy × rule | urgent slots = - (14)</t>
  </si>
  <si>
    <t>Interaction strategy × rule | urgent slots = + (16)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</si>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</sst>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  <xf numFmtId="0" fontId="7" fillId="5" borderId="1" xfId="2" applyBorder="1" applyAlignment="1">
      <alignment horizontal="left" vertical="center" wrapText="1"/>
    </xf>
    <xf numFmtId="0" fontId="6" fillId="4" borderId="1" xfId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0.42688778984269099</c:v>
                </c:pt>
                <c:pt idx="1">
                  <c:v>0.45169441526971721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DD-B84D-8416-B7579D44F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0.44231271043958431</c:v>
                </c:pt>
                <c:pt idx="1">
                  <c:v>0.43626949467282411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54-B64E-AD07-3B7622DB5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0.43984866058281158</c:v>
                </c:pt>
                <c:pt idx="1">
                  <c:v>0.43873354452959679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63-5F41-B9D6-530128C74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0.42691785547977518</c:v>
                </c:pt>
                <c:pt idx="1">
                  <c:v>0.45890458591134892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F5-C84C-8343-EA3068416A78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0.42769961677566132</c:v>
                </c:pt>
                <c:pt idx="1">
                  <c:v>0.44587258416446068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F5-C84C-8343-EA3068416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0.42571997631101449</c:v>
                </c:pt>
                <c:pt idx="1">
                  <c:v>0.45770842405619838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93-AE45-A9AA-C538AE1543EC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0.42721371080431342</c:v>
                </c:pt>
                <c:pt idx="1">
                  <c:v>0.44429206694686069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93-AE45-A9AA-C538AE15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0.42691785547977518</c:v>
                </c:pt>
                <c:pt idx="1">
                  <c:v>0.45890458591134892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E3-DB49-8695-95CD2886EF14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0.42571997631101449</c:v>
                </c:pt>
                <c:pt idx="1">
                  <c:v>0.45770842405619838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E3-DB49-8695-95CD2886E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0.42769961677566132</c:v>
                </c:pt>
                <c:pt idx="1">
                  <c:v>0.44587258416446068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65-2049-84A6-67F626B38D74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14</c:v>
                </c:pt>
                <c:pt idx="1">
                  <c:v>16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0.42721371080431342</c:v>
                </c:pt>
                <c:pt idx="1">
                  <c:v>0.44429206694686069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65-2049-84A6-67F626B3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0.42691785547977518</c:v>
                </c:pt>
                <c:pt idx="1">
                  <c:v>0.42769961677566132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E1-AF4E-9E22-58296CF09BD4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0.42571997631101449</c:v>
                </c:pt>
                <c:pt idx="1">
                  <c:v>0.42721371080431342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E1-AF4E-9E22-58296CF0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0.45890458591134892</c:v>
                </c:pt>
                <c:pt idx="1">
                  <c:v>0.44587258416446068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35-3743-A567-438C5B2B37FD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0.45770842405619838</c:v>
                </c:pt>
                <c:pt idx="1">
                  <c:v>0.44429206694686069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35-3743-A567-438C5B2B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1" width="14" customWidth="1"/>
    <col min="12" max="12" width="16" customWidth="1"/>
  </cols>
  <sheetData>
    <row r="1" spans="1:12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>
        <v>1</v>
      </c>
      <c r="B4" s="3" t="s">
        <v>13</v>
      </c>
      <c r="C4" s="3">
        <v>14</v>
      </c>
      <c r="D4" s="3" t="s">
        <v>13</v>
      </c>
      <c r="E4" s="3">
        <v>2</v>
      </c>
      <c r="F4" s="3" t="s">
        <v>13</v>
      </c>
      <c r="G4" s="3">
        <v>1</v>
      </c>
      <c r="H4" s="4">
        <v>0.44663742981207027</v>
      </c>
      <c r="I4" s="4">
        <v>0.44576970464499632</v>
      </c>
      <c r="J4" s="4">
        <v>0.40983500169785081</v>
      </c>
      <c r="K4" s="4">
        <v>0.40542928576418352</v>
      </c>
      <c r="L4" s="4">
        <v>0.42691785547977518</v>
      </c>
    </row>
    <row r="5" spans="1:12" x14ac:dyDescent="0.2">
      <c r="A5" s="2">
        <v>2</v>
      </c>
      <c r="B5" s="3" t="s">
        <v>14</v>
      </c>
      <c r="C5" s="3">
        <v>16</v>
      </c>
      <c r="D5" s="3" t="s">
        <v>13</v>
      </c>
      <c r="E5" s="3">
        <v>2</v>
      </c>
      <c r="F5" s="3" t="s">
        <v>13</v>
      </c>
      <c r="G5" s="3">
        <v>1</v>
      </c>
      <c r="H5" s="4">
        <v>0.47501249030340192</v>
      </c>
      <c r="I5" s="4">
        <v>0.45400068093512869</v>
      </c>
      <c r="J5" s="4">
        <v>0.45500021614636232</v>
      </c>
      <c r="K5" s="4">
        <v>0.45160495626050268</v>
      </c>
      <c r="L5" s="4">
        <v>0.45890458591134892</v>
      </c>
    </row>
    <row r="6" spans="1:12" x14ac:dyDescent="0.2">
      <c r="A6" s="2">
        <v>3</v>
      </c>
      <c r="B6" s="3" t="s">
        <v>13</v>
      </c>
      <c r="C6" s="3">
        <v>14</v>
      </c>
      <c r="D6" s="3" t="s">
        <v>14</v>
      </c>
      <c r="E6" s="3">
        <v>3</v>
      </c>
      <c r="F6" s="3" t="s">
        <v>13</v>
      </c>
      <c r="G6" s="3">
        <v>1</v>
      </c>
      <c r="H6" s="4">
        <v>0.4476711920269838</v>
      </c>
      <c r="I6" s="4">
        <v>0.44652792812615039</v>
      </c>
      <c r="J6" s="4">
        <v>0.41051012054270941</v>
      </c>
      <c r="K6" s="4">
        <v>0.40608922640680167</v>
      </c>
      <c r="L6" s="4">
        <v>0.42769961677566132</v>
      </c>
    </row>
    <row r="7" spans="1:12" x14ac:dyDescent="0.2">
      <c r="A7" s="2">
        <v>4</v>
      </c>
      <c r="B7" s="3" t="s">
        <v>14</v>
      </c>
      <c r="C7" s="3">
        <v>16</v>
      </c>
      <c r="D7" s="3" t="s">
        <v>14</v>
      </c>
      <c r="E7" s="3">
        <v>3</v>
      </c>
      <c r="F7" s="3" t="s">
        <v>13</v>
      </c>
      <c r="G7" s="3">
        <v>1</v>
      </c>
      <c r="H7" s="4">
        <v>0.46055782827457897</v>
      </c>
      <c r="I7" s="4">
        <v>0.44094304320040489</v>
      </c>
      <c r="J7" s="4">
        <v>0.44255758895048808</v>
      </c>
      <c r="K7" s="4">
        <v>0.43943187623237101</v>
      </c>
      <c r="L7" s="4">
        <v>0.44587258416446068</v>
      </c>
    </row>
    <row r="8" spans="1:12" x14ac:dyDescent="0.2">
      <c r="A8" s="2">
        <v>5</v>
      </c>
      <c r="B8" s="3" t="s">
        <v>13</v>
      </c>
      <c r="C8" s="3">
        <v>14</v>
      </c>
      <c r="D8" s="3" t="s">
        <v>13</v>
      </c>
      <c r="E8" s="3">
        <v>2</v>
      </c>
      <c r="F8" s="3" t="s">
        <v>14</v>
      </c>
      <c r="G8" s="3">
        <v>2</v>
      </c>
      <c r="H8" s="4">
        <v>0.44558351078620051</v>
      </c>
      <c r="I8" s="4">
        <v>0.44448018847621568</v>
      </c>
      <c r="J8" s="4">
        <v>0.40889597400918559</v>
      </c>
      <c r="K8" s="4">
        <v>0.40392023197245641</v>
      </c>
      <c r="L8" s="4">
        <v>0.42571997631101449</v>
      </c>
    </row>
    <row r="9" spans="1:12" x14ac:dyDescent="0.2">
      <c r="A9" s="2">
        <v>6</v>
      </c>
      <c r="B9" s="3" t="s">
        <v>14</v>
      </c>
      <c r="C9" s="3">
        <v>16</v>
      </c>
      <c r="D9" s="3" t="s">
        <v>13</v>
      </c>
      <c r="E9" s="3">
        <v>2</v>
      </c>
      <c r="F9" s="3" t="s">
        <v>14</v>
      </c>
      <c r="G9" s="3">
        <v>2</v>
      </c>
      <c r="H9" s="4">
        <v>0.47389082381524211</v>
      </c>
      <c r="I9" s="4">
        <v>0.45278809630074052</v>
      </c>
      <c r="J9" s="4">
        <v>0.45368792094664712</v>
      </c>
      <c r="K9" s="4">
        <v>0.45046685516216378</v>
      </c>
      <c r="L9" s="4">
        <v>0.45770842405619838</v>
      </c>
    </row>
    <row r="10" spans="1:12" x14ac:dyDescent="0.2">
      <c r="A10" s="2">
        <v>7</v>
      </c>
      <c r="B10" s="3" t="s">
        <v>13</v>
      </c>
      <c r="C10" s="3">
        <v>14</v>
      </c>
      <c r="D10" s="3" t="s">
        <v>14</v>
      </c>
      <c r="E10" s="3">
        <v>3</v>
      </c>
      <c r="F10" s="3" t="s">
        <v>14</v>
      </c>
      <c r="G10" s="3">
        <v>2</v>
      </c>
      <c r="H10" s="4">
        <v>0.44733127538235329</v>
      </c>
      <c r="I10" s="4">
        <v>0.44620670841978921</v>
      </c>
      <c r="J10" s="4">
        <v>0.41016264932922408</v>
      </c>
      <c r="K10" s="4">
        <v>0.40515421008588681</v>
      </c>
      <c r="L10" s="4">
        <v>0.42721371080431342</v>
      </c>
    </row>
    <row r="11" spans="1:12" x14ac:dyDescent="0.2">
      <c r="A11" s="2">
        <v>8</v>
      </c>
      <c r="B11" s="3" t="s">
        <v>14</v>
      </c>
      <c r="C11" s="3">
        <v>16</v>
      </c>
      <c r="D11" s="3" t="s">
        <v>14</v>
      </c>
      <c r="E11" s="3">
        <v>3</v>
      </c>
      <c r="F11" s="3" t="s">
        <v>14</v>
      </c>
      <c r="G11" s="3">
        <v>2</v>
      </c>
      <c r="H11" s="4">
        <v>0.4591437104379108</v>
      </c>
      <c r="I11" s="4">
        <v>0.43952090164620711</v>
      </c>
      <c r="J11" s="4">
        <v>0.44095476513575238</v>
      </c>
      <c r="K11" s="4">
        <v>0.43754889056757251</v>
      </c>
      <c r="L11" s="4">
        <v>0.44429206694686069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zoomScale="125" workbookViewId="0">
      <pane ySplit="3" topLeftCell="A4" activePane="bottomLeft" state="frozen"/>
      <selection pane="bottomLeft" activeCell="I15" sqref="I15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9" x14ac:dyDescent="0.2">
      <c r="A1" s="14" t="s">
        <v>15</v>
      </c>
      <c r="B1" s="15"/>
      <c r="C1" s="15"/>
      <c r="D1" s="15"/>
      <c r="E1" s="15"/>
      <c r="F1" s="15"/>
      <c r="G1" s="15"/>
      <c r="H1" s="15"/>
    </row>
    <row r="3" spans="1:9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9" x14ac:dyDescent="0.2">
      <c r="A4" s="3">
        <v>1</v>
      </c>
      <c r="B4" s="4">
        <v>2.0345361205881471E-2</v>
      </c>
      <c r="C4" s="4">
        <v>-6.6050621487719757E-3</v>
      </c>
      <c r="D4" s="4">
        <v>-9.8240499883205101E-4</v>
      </c>
      <c r="E4" s="4">
        <v>-7.9958255543051276E-3</v>
      </c>
      <c r="F4" s="4">
        <v>-2.854871635819406E-4</v>
      </c>
      <c r="G4" s="4">
        <v>1.053877581827095E-4</v>
      </c>
      <c r="H4" s="4">
        <v>-2.5161343243694512E-4</v>
      </c>
    </row>
    <row r="5" spans="1:9" x14ac:dyDescent="0.2">
      <c r="A5" s="3">
        <v>2</v>
      </c>
      <c r="B5" s="4">
        <v>1.0670481038324161E-3</v>
      </c>
      <c r="C5" s="4">
        <v>-5.9600222411323586E-3</v>
      </c>
      <c r="D5" s="4">
        <v>-1.0613655159319581E-3</v>
      </c>
      <c r="E5" s="4">
        <v>-7.2023939534962139E-3</v>
      </c>
      <c r="F5" s="4">
        <v>-2.5599757836101972E-4</v>
      </c>
      <c r="G5" s="4">
        <v>1.8968488565239419E-4</v>
      </c>
      <c r="H5" s="4">
        <v>-2.9446334555723042E-4</v>
      </c>
    </row>
    <row r="6" spans="1:9" x14ac:dyDescent="0.2">
      <c r="A6" s="3">
        <v>3</v>
      </c>
      <c r="B6" s="4">
        <v>3.8199186400070008E-2</v>
      </c>
      <c r="C6" s="4">
        <v>-5.8084972104679167E-3</v>
      </c>
      <c r="D6" s="4">
        <v>-1.050404479150308E-3</v>
      </c>
      <c r="E6" s="4">
        <v>-6.7793942929164769E-3</v>
      </c>
      <c r="F6" s="4">
        <v>-4.0715502807513182E-4</v>
      </c>
      <c r="G6" s="4">
        <v>7.5256965039877111E-5</v>
      </c>
      <c r="H6" s="4">
        <v>-2.2052127255010881E-4</v>
      </c>
    </row>
    <row r="7" spans="1:9" x14ac:dyDescent="0.2">
      <c r="A7" s="3">
        <v>4</v>
      </c>
      <c r="B7" s="4">
        <v>3.9614905998320397E-2</v>
      </c>
      <c r="C7" s="4">
        <v>-5.7992814666686099E-3</v>
      </c>
      <c r="D7" s="4">
        <v>-1.366289218944827E-3</v>
      </c>
      <c r="E7" s="4">
        <v>-6.7462408446929134E-3</v>
      </c>
      <c r="F7" s="4">
        <v>-1.4425416262384139E-4</v>
      </c>
      <c r="G7" s="4">
        <v>-4.2711773911852102E-5</v>
      </c>
      <c r="H7" s="4">
        <v>-3.2973050931794917E-4</v>
      </c>
    </row>
    <row r="10" spans="1:9" x14ac:dyDescent="0.2">
      <c r="A10" s="16" t="s">
        <v>24</v>
      </c>
      <c r="B10" s="15"/>
      <c r="C10" s="15"/>
      <c r="D10" s="15"/>
      <c r="E10" s="15"/>
      <c r="F10" s="15"/>
      <c r="G10" s="15"/>
    </row>
    <row r="11" spans="1:9" x14ac:dyDescent="0.2">
      <c r="A11" s="1" t="s">
        <v>25</v>
      </c>
      <c r="B11" s="1" t="s">
        <v>26</v>
      </c>
      <c r="C11" s="1" t="s">
        <v>27</v>
      </c>
      <c r="D11" s="7" t="s">
        <v>61</v>
      </c>
      <c r="E11" s="1" t="s">
        <v>28</v>
      </c>
      <c r="F11" s="1" t="s">
        <v>29</v>
      </c>
      <c r="G11" s="1" t="s">
        <v>30</v>
      </c>
      <c r="H11" s="1" t="s">
        <v>31</v>
      </c>
    </row>
    <row r="12" spans="1:9" ht="34" x14ac:dyDescent="0.2">
      <c r="A12" s="12" t="s">
        <v>17</v>
      </c>
      <c r="B12" s="4">
        <v>2.480662542702608E-2</v>
      </c>
      <c r="C12" s="4">
        <v>1.8093426733021289E-2</v>
      </c>
      <c r="D12" s="4">
        <f>_xlfn.T.INV.2T(0.05/7,3)</f>
        <v>6.5796785015734338</v>
      </c>
      <c r="E12" s="4">
        <f>C12*D12/SQRT(4)</f>
        <v>5.9524465447527111E-2</v>
      </c>
      <c r="F12" s="4">
        <f>B12-E12</f>
        <v>-3.4717840020501031E-2</v>
      </c>
      <c r="G12" s="8">
        <f>B12+E12</f>
        <v>8.4331090874553191E-2</v>
      </c>
      <c r="H12" s="9" t="s">
        <v>32</v>
      </c>
    </row>
    <row r="13" spans="1:9" ht="17" x14ac:dyDescent="0.2">
      <c r="A13" s="13" t="s">
        <v>18</v>
      </c>
      <c r="B13" s="4">
        <v>-6.0432157667602146E-3</v>
      </c>
      <c r="C13" s="4">
        <v>3.8174566712896699E-4</v>
      </c>
      <c r="D13" s="4">
        <f t="shared" ref="D13:D18" si="0">_xlfn.T.INV.2T(0.05/7,3)</f>
        <v>6.5796785015734338</v>
      </c>
      <c r="E13" s="4">
        <f t="shared" ref="E13:E18" si="1">C13*D13/SQRT(4)</f>
        <v>1.2558818795386363E-3</v>
      </c>
      <c r="F13" s="4">
        <f t="shared" ref="F13:F17" si="2">B13-E13</f>
        <v>-7.2990976462988504E-3</v>
      </c>
      <c r="G13" s="8">
        <f t="shared" ref="G13:G18" si="3">B13+E13</f>
        <v>-4.7873338872215787E-3</v>
      </c>
      <c r="H13" s="10" t="s">
        <v>62</v>
      </c>
      <c r="I13">
        <v>2</v>
      </c>
    </row>
    <row r="14" spans="1:9" ht="17" x14ac:dyDescent="0.2">
      <c r="A14" s="13" t="s">
        <v>19</v>
      </c>
      <c r="B14" s="4">
        <v>-1.1151160532147861E-3</v>
      </c>
      <c r="C14" s="4">
        <v>1.710525174854428E-4</v>
      </c>
      <c r="D14" s="4">
        <f t="shared" si="0"/>
        <v>6.5796785015734338</v>
      </c>
      <c r="E14" s="4">
        <f t="shared" si="1"/>
        <v>5.627352859694909E-4</v>
      </c>
      <c r="F14" s="4">
        <f t="shared" si="2"/>
        <v>-1.677851339184277E-3</v>
      </c>
      <c r="G14" s="8">
        <f t="shared" si="3"/>
        <v>-5.5238076724529518E-4</v>
      </c>
      <c r="H14" s="10" t="s">
        <v>62</v>
      </c>
      <c r="I14">
        <v>1</v>
      </c>
    </row>
    <row r="15" spans="1:9" ht="34" x14ac:dyDescent="0.2">
      <c r="A15" s="13" t="s">
        <v>34</v>
      </c>
      <c r="B15" s="4">
        <v>-7.180963661352683E-3</v>
      </c>
      <c r="C15" s="4">
        <v>5.8157861234123102E-4</v>
      </c>
      <c r="D15" s="4">
        <f t="shared" si="0"/>
        <v>6.5796785015734338</v>
      </c>
      <c r="E15" s="4">
        <f t="shared" si="1"/>
        <v>1.9133001462982538E-3</v>
      </c>
      <c r="F15" s="4">
        <f t="shared" si="2"/>
        <v>-9.0942638076509374E-3</v>
      </c>
      <c r="G15" s="8">
        <f t="shared" si="3"/>
        <v>-5.2676635150544293E-3</v>
      </c>
      <c r="H15" s="10" t="s">
        <v>33</v>
      </c>
    </row>
    <row r="16" spans="1:9" ht="34" x14ac:dyDescent="0.2">
      <c r="A16" s="12" t="s">
        <v>35</v>
      </c>
      <c r="B16" s="4">
        <v>-2.7322348316048342E-4</v>
      </c>
      <c r="C16" s="4">
        <v>1.08039921659461E-4</v>
      </c>
      <c r="D16" s="4">
        <f t="shared" si="0"/>
        <v>6.5796785015734338</v>
      </c>
      <c r="E16" s="4">
        <f>C16*D16/SQRT(4)</f>
        <v>3.5543397492721675E-4</v>
      </c>
      <c r="F16" s="4">
        <f t="shared" si="2"/>
        <v>-6.2865745808770017E-4</v>
      </c>
      <c r="G16" s="11">
        <f>B16+E16</f>
        <v>8.2210491766733333E-5</v>
      </c>
      <c r="H16" s="9" t="s">
        <v>32</v>
      </c>
    </row>
    <row r="17" spans="1:8" ht="34" x14ac:dyDescent="0.2">
      <c r="A17" s="12" t="s">
        <v>36</v>
      </c>
      <c r="B17" s="4">
        <v>8.1904458740782171E-5</v>
      </c>
      <c r="C17" s="4">
        <v>9.6162155395574059E-5</v>
      </c>
      <c r="D17" s="4">
        <f t="shared" si="0"/>
        <v>6.5796785015734338</v>
      </c>
      <c r="E17" s="4">
        <f t="shared" si="1"/>
        <v>3.1635803326061121E-4</v>
      </c>
      <c r="F17" s="4">
        <f t="shared" si="2"/>
        <v>-2.3445357451982904E-4</v>
      </c>
      <c r="G17" s="8">
        <f t="shared" si="3"/>
        <v>3.9826249200139338E-4</v>
      </c>
      <c r="H17" s="9" t="s">
        <v>32</v>
      </c>
    </row>
    <row r="18" spans="1:8" ht="34" x14ac:dyDescent="0.2">
      <c r="A18" s="13" t="s">
        <v>37</v>
      </c>
      <c r="B18" s="4">
        <v>-2.7408213996555839E-4</v>
      </c>
      <c r="C18" s="4">
        <v>4.7908746206553453E-5</v>
      </c>
      <c r="D18" s="4">
        <f t="shared" si="0"/>
        <v>6.5796785015734338</v>
      </c>
      <c r="E18" s="4">
        <f t="shared" si="1"/>
        <v>1.5761207372629878E-4</v>
      </c>
      <c r="F18" s="4">
        <f>B18-E18</f>
        <v>-4.3169421369185717E-4</v>
      </c>
      <c r="G18" s="8">
        <f t="shared" si="3"/>
        <v>-1.164700662392596E-4</v>
      </c>
      <c r="H18" s="10" t="s">
        <v>33</v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4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spans="1:17" x14ac:dyDescent="0.2">
      <c r="A3" s="1" t="s">
        <v>39</v>
      </c>
    </row>
    <row r="4" spans="1:17" x14ac:dyDescent="0.2">
      <c r="A4" s="1" t="s">
        <v>40</v>
      </c>
      <c r="B4" s="1" t="s">
        <v>41</v>
      </c>
      <c r="C4" s="1" t="s">
        <v>42</v>
      </c>
      <c r="E4" s="1" t="s">
        <v>40</v>
      </c>
      <c r="F4" s="1" t="s">
        <v>41</v>
      </c>
      <c r="G4" s="1" t="s">
        <v>43</v>
      </c>
      <c r="I4" s="1" t="s">
        <v>40</v>
      </c>
      <c r="J4" s="1" t="s">
        <v>41</v>
      </c>
      <c r="K4" s="1" t="s">
        <v>44</v>
      </c>
    </row>
    <row r="5" spans="1:17" x14ac:dyDescent="0.2">
      <c r="A5" s="3" t="s">
        <v>13</v>
      </c>
      <c r="B5" s="4">
        <v>0.42688778984269099</v>
      </c>
      <c r="C5" s="5">
        <v>14</v>
      </c>
      <c r="E5" s="3" t="s">
        <v>13</v>
      </c>
      <c r="F5" s="4">
        <v>0.44231271043958431</v>
      </c>
      <c r="G5" s="5">
        <v>2</v>
      </c>
      <c r="I5" s="3" t="s">
        <v>13</v>
      </c>
      <c r="J5" s="4">
        <v>0.43984866058281158</v>
      </c>
      <c r="K5" s="5">
        <v>1</v>
      </c>
    </row>
    <row r="6" spans="1:17" x14ac:dyDescent="0.2">
      <c r="A6" s="3" t="s">
        <v>14</v>
      </c>
      <c r="B6" s="4">
        <v>0.45169441526971721</v>
      </c>
      <c r="C6" s="5">
        <v>16</v>
      </c>
      <c r="E6" s="3" t="s">
        <v>14</v>
      </c>
      <c r="F6" s="4">
        <v>0.43626949467282411</v>
      </c>
      <c r="G6" s="5">
        <v>3</v>
      </c>
      <c r="I6" s="3" t="s">
        <v>14</v>
      </c>
      <c r="J6" s="4">
        <v>0.43873354452959679</v>
      </c>
      <c r="K6" s="5">
        <v>2</v>
      </c>
    </row>
    <row r="25" spans="1:8" ht="28" x14ac:dyDescent="0.2">
      <c r="A25" s="1" t="s">
        <v>45</v>
      </c>
    </row>
    <row r="27" spans="1:8" x14ac:dyDescent="0.2">
      <c r="A27" s="16" t="s">
        <v>46</v>
      </c>
      <c r="B27" s="17"/>
      <c r="C27" s="18"/>
      <c r="E27" s="16" t="s">
        <v>47</v>
      </c>
      <c r="F27" s="17"/>
      <c r="G27" s="18"/>
    </row>
    <row r="28" spans="1:8" x14ac:dyDescent="0.2">
      <c r="A28" s="1" t="s">
        <v>42</v>
      </c>
      <c r="B28" s="1" t="s">
        <v>48</v>
      </c>
      <c r="C28" s="1" t="s">
        <v>49</v>
      </c>
      <c r="D28" s="1" t="s">
        <v>50</v>
      </c>
      <c r="E28" s="1" t="s">
        <v>42</v>
      </c>
      <c r="F28" s="1" t="s">
        <v>48</v>
      </c>
      <c r="G28" s="1" t="s">
        <v>49</v>
      </c>
      <c r="H28" s="1" t="s">
        <v>50</v>
      </c>
    </row>
    <row r="29" spans="1:8" x14ac:dyDescent="0.2">
      <c r="A29" s="3">
        <v>14</v>
      </c>
      <c r="B29" s="4">
        <v>0.42691785547977518</v>
      </c>
      <c r="C29" s="4">
        <v>0.42769961677566132</v>
      </c>
      <c r="E29" s="3">
        <v>14</v>
      </c>
      <c r="F29" s="4">
        <v>0.42571997631101449</v>
      </c>
      <c r="G29" s="4">
        <v>0.42721371080431342</v>
      </c>
    </row>
    <row r="30" spans="1:8" x14ac:dyDescent="0.2">
      <c r="A30" s="3">
        <v>16</v>
      </c>
      <c r="B30" s="4">
        <v>0.45890458591134892</v>
      </c>
      <c r="C30" s="4">
        <v>0.44587258416446068</v>
      </c>
      <c r="E30" s="3">
        <v>16</v>
      </c>
      <c r="F30" s="4">
        <v>0.45770842405619838</v>
      </c>
      <c r="G30" s="4">
        <v>0.44429206694686069</v>
      </c>
    </row>
    <row r="52" spans="1:8" x14ac:dyDescent="0.2">
      <c r="A52" s="16" t="s">
        <v>51</v>
      </c>
      <c r="B52" s="17"/>
      <c r="C52" s="18"/>
      <c r="E52" s="16" t="s">
        <v>52</v>
      </c>
      <c r="F52" s="17"/>
      <c r="G52" s="18"/>
    </row>
    <row r="53" spans="1:8" x14ac:dyDescent="0.2">
      <c r="A53" s="1" t="s">
        <v>42</v>
      </c>
      <c r="B53" s="1" t="s">
        <v>53</v>
      </c>
      <c r="C53" s="1" t="s">
        <v>54</v>
      </c>
      <c r="D53" s="1" t="s">
        <v>55</v>
      </c>
      <c r="E53" s="1" t="s">
        <v>42</v>
      </c>
      <c r="F53" s="1" t="s">
        <v>53</v>
      </c>
      <c r="G53" s="1" t="s">
        <v>54</v>
      </c>
      <c r="H53" s="1" t="s">
        <v>55</v>
      </c>
    </row>
    <row r="54" spans="1:8" x14ac:dyDescent="0.2">
      <c r="A54" s="3">
        <v>14</v>
      </c>
      <c r="B54" s="4">
        <v>0.42691785547977518</v>
      </c>
      <c r="C54" s="4">
        <v>0.42571997631101449</v>
      </c>
      <c r="E54" s="3">
        <v>14</v>
      </c>
      <c r="F54" s="4">
        <v>0.42769961677566132</v>
      </c>
      <c r="G54" s="4">
        <v>0.42721371080431342</v>
      </c>
    </row>
    <row r="55" spans="1:8" x14ac:dyDescent="0.2">
      <c r="A55" s="3">
        <v>16</v>
      </c>
      <c r="B55" s="4">
        <v>0.45890458591134892</v>
      </c>
      <c r="C55" s="4">
        <v>0.45770842405619838</v>
      </c>
      <c r="E55" s="3">
        <v>16</v>
      </c>
      <c r="F55" s="4">
        <v>0.44587258416446068</v>
      </c>
      <c r="G55" s="4">
        <v>0.44429206694686069</v>
      </c>
    </row>
    <row r="77" spans="1:8" x14ac:dyDescent="0.2">
      <c r="A77" s="16" t="s">
        <v>56</v>
      </c>
      <c r="B77" s="17"/>
      <c r="C77" s="18"/>
      <c r="E77" s="16" t="s">
        <v>57</v>
      </c>
      <c r="F77" s="17"/>
      <c r="G77" s="18"/>
    </row>
    <row r="78" spans="1:8" ht="28" x14ac:dyDescent="0.2">
      <c r="A78" s="1" t="s">
        <v>43</v>
      </c>
      <c r="B78" s="1" t="s">
        <v>53</v>
      </c>
      <c r="C78" s="1" t="s">
        <v>54</v>
      </c>
      <c r="D78" s="1" t="s">
        <v>58</v>
      </c>
      <c r="E78" s="1" t="s">
        <v>43</v>
      </c>
      <c r="F78" s="1" t="s">
        <v>53</v>
      </c>
      <c r="G78" s="1" t="s">
        <v>54</v>
      </c>
      <c r="H78" s="1" t="s">
        <v>58</v>
      </c>
    </row>
    <row r="79" spans="1:8" x14ac:dyDescent="0.2">
      <c r="A79" s="3">
        <v>2</v>
      </c>
      <c r="B79" s="4">
        <v>0.42691785547977518</v>
      </c>
      <c r="C79" s="4">
        <v>0.42571997631101449</v>
      </c>
      <c r="E79" s="3">
        <v>2</v>
      </c>
      <c r="F79" s="4">
        <v>0.45890458591134892</v>
      </c>
      <c r="G79" s="4">
        <v>0.45770842405619838</v>
      </c>
    </row>
    <row r="80" spans="1:8" x14ac:dyDescent="0.2">
      <c r="A80" s="3">
        <v>3</v>
      </c>
      <c r="B80" s="4">
        <v>0.42769961677566132</v>
      </c>
      <c r="C80" s="4">
        <v>0.42721371080431342</v>
      </c>
      <c r="E80" s="3">
        <v>3</v>
      </c>
      <c r="F80" s="4">
        <v>0.44587258416446068</v>
      </c>
      <c r="G80" s="4">
        <v>0.44429206694686069</v>
      </c>
    </row>
    <row r="110" spans="1:1" ht="28" x14ac:dyDescent="0.2">
      <c r="A110" s="1" t="s">
        <v>59</v>
      </c>
    </row>
    <row r="111" spans="1:1" ht="208" x14ac:dyDescent="0.2">
      <c r="A111" s="6" t="s">
        <v>60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2026-04-30T12:50:24Z</dcterms:created>
  <dcterms:modified xsi:type="dcterms:W3CDTF">2026-04-30T13:36:43Z</dcterms:modified>
</cp:coreProperties>
</file>