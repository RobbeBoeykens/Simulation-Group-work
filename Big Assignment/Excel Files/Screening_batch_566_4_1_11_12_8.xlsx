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ED733FBD-5429-CC4B-B3E8-6148BA51C3DA}" xr6:coauthVersionLast="47" xr6:coauthVersionMax="47" xr10:uidLastSave="{00000000-0000-0000-0000-000000000000}"/>
  <bookViews>
    <workbookView xWindow="4440" yWindow="740" windowWidth="24960" windowHeight="1714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7" i="2" l="1"/>
  <c r="D18" i="2"/>
  <c r="E18" i="2" s="1"/>
  <c r="D19" i="2"/>
  <c r="E19" i="2" s="1"/>
  <c r="D20" i="2"/>
  <c r="E20" i="2" s="1"/>
  <c r="D21" i="2"/>
  <c r="E21" i="2" s="1"/>
  <c r="D22" i="2"/>
  <c r="E22" i="2" s="1"/>
  <c r="D16" i="2"/>
  <c r="E16" i="2" s="1"/>
  <c r="E17" i="2"/>
  <c r="G16" i="2" l="1"/>
  <c r="F16" i="2"/>
  <c r="G19" i="2"/>
  <c r="F19" i="2"/>
  <c r="G20" i="2"/>
  <c r="F20" i="2"/>
  <c r="G17" i="2"/>
  <c r="F17" i="2"/>
  <c r="G21" i="2"/>
  <c r="F21" i="2"/>
  <c r="G18" i="2"/>
  <c r="F18" i="2"/>
  <c r="G22" i="2"/>
  <c r="F22" i="2"/>
</calcChain>
</file>

<file path=xl/sharedStrings.xml><?xml version="1.0" encoding="utf-8"?>
<sst xmlns="http://schemas.openxmlformats.org/spreadsheetml/2006/main" count="123" uniqueCount="66">
  <si>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</si>
  <si>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</si>
  <si>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</si>
  <si>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</si>
  <si>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</si>
  <si>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</si>
  <si>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</si>
  <si>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</si>
  <si>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</si>
  <si>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</si>
  <si>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</si>
  <si>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</si>
  <si>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Batch 5</t>
  </si>
  <si>
    <t>Batch 6</t>
  </si>
  <si>
    <t>Batch 7</t>
  </si>
  <si>
    <t>Batch 8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</si>
  <si>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</si>
  <si>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</si>
  <si>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</si>
  <si>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</si>
  <si>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</si>
  <si>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</si>
  <si>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</si>
  <si>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</si>
  <si>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</si>
  <si>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</si>
  <si>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</si>
  <si>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</si>
  <si>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</si>
  <si>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</si>
  <si>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</si>
  <si>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</si>
  <si>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</si>
  <si>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</si>
  <si>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</si>
  <si>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</si>
  <si>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NO</t>
  </si>
  <si>
    <t>YES</t>
  </si>
  <si>
    <t>e12 urgent × strategy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</si>
  <si>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</si>
  <si>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</si>
  <si>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</si>
  <si>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</si>
  <si>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</si>
  <si>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</si>
  <si>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</si>
  <si>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</si>
  <si>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</si>
  <si>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</si>
  <si>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</si>
  <si>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</si>
  <si>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</si>
  <si>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</si>
  <si>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</si>
  <si>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</si>
  <si>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(1)</t>
  </si>
  <si>
    <t>Interaction urgent slots × rule | strategy = + (2)</t>
  </si>
  <si>
    <t>rule -</t>
  </si>
  <si>
    <t>rule +</t>
  </si>
  <si>
    <t>fixed strategy</t>
  </si>
  <si>
    <t>Interaction strategy × rule | urgent slots = - (11)</t>
  </si>
  <si>
    <t>Interaction strategy × rule | urgent slots = + (12)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</si>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</sst>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7" fillId="5" borderId="0" xfId="2"/>
    <xf numFmtId="0" fontId="6" fillId="4" borderId="0" xfId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11</c:v>
                </c:pt>
                <c:pt idx="1">
                  <c:v>12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0.43121530551837989</c:v>
                </c:pt>
                <c:pt idx="1">
                  <c:v>0.43332540155288241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20-DC43-B2DC-533AC9BEB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0.45564389990505982</c:v>
                </c:pt>
                <c:pt idx="1">
                  <c:v>0.40889680716620252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E7-8743-8294-3E16C67CC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0.4328286969792397</c:v>
                </c:pt>
                <c:pt idx="1">
                  <c:v>0.4317120100920227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33-0546-99CF-86A70627D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11</c:v>
                </c:pt>
                <c:pt idx="1">
                  <c:v>12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0.45642395316548351</c:v>
                </c:pt>
                <c:pt idx="1">
                  <c:v>0.45654046742432541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77-E44D-863F-A0A9A56AE9E7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11</c:v>
                </c:pt>
                <c:pt idx="1">
                  <c:v>12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0.40701249178725468</c:v>
                </c:pt>
                <c:pt idx="1">
                  <c:v>0.41133787553989531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77-E44D-863F-A0A9A56AE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11</c:v>
                </c:pt>
                <c:pt idx="1">
                  <c:v>12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0.45497619622548102</c:v>
                </c:pt>
                <c:pt idx="1">
                  <c:v>0.45463498280494952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6A-F042-AFED-9CC96E4EC5CA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11</c:v>
                </c:pt>
                <c:pt idx="1">
                  <c:v>12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0.40644858089530073</c:v>
                </c:pt>
                <c:pt idx="1">
                  <c:v>0.41078828044235949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6A-F042-AFED-9CC96E4EC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11</c:v>
                </c:pt>
                <c:pt idx="1">
                  <c:v>12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0.45642395316548351</c:v>
                </c:pt>
                <c:pt idx="1">
                  <c:v>0.45654046742432541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AD-794D-93BA-34E771A5B013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11</c:v>
                </c:pt>
                <c:pt idx="1">
                  <c:v>12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0.45497619622548102</c:v>
                </c:pt>
                <c:pt idx="1">
                  <c:v>0.45463498280494952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AD-794D-93BA-34E771A5B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11</c:v>
                </c:pt>
                <c:pt idx="1">
                  <c:v>12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0.40701249178725468</c:v>
                </c:pt>
                <c:pt idx="1">
                  <c:v>0.41133787553989531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CA-6142-84E0-513DE377DA71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11</c:v>
                </c:pt>
                <c:pt idx="1">
                  <c:v>12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0.40644858089530073</c:v>
                </c:pt>
                <c:pt idx="1">
                  <c:v>0.41078828044235949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CA-6142-84E0-513DE377D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0.45642395316548351</c:v>
                </c:pt>
                <c:pt idx="1">
                  <c:v>0.40701249178725468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58-BA49-8F2E-17A946315899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0.45497619622548102</c:v>
                </c:pt>
                <c:pt idx="1">
                  <c:v>0.40644858089530073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58-BA49-8F2E-17A946315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0.45654046742432541</c:v>
                </c:pt>
                <c:pt idx="1">
                  <c:v>0.41133787553989531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A8-1542-82D6-F3C06D908A32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0.45463498280494952</c:v>
                </c:pt>
                <c:pt idx="1">
                  <c:v>0.41078828044235949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A8-1542-82D6-F3C06D908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pane ySplit="3" topLeftCell="A4" activePane="bottomLeft" state="frozen"/>
      <selection pane="bottomLeft" sqref="A1:P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5" width="14" customWidth="1"/>
    <col min="16" max="16" width="16" customWidth="1"/>
  </cols>
  <sheetData>
    <row r="1" spans="1:16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3" spans="1:16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">
      <c r="A4" s="2">
        <v>1</v>
      </c>
      <c r="B4" s="3" t="s">
        <v>17</v>
      </c>
      <c r="C4" s="3">
        <v>11</v>
      </c>
      <c r="D4" s="3" t="s">
        <v>17</v>
      </c>
      <c r="E4" s="3">
        <v>1</v>
      </c>
      <c r="F4" s="3" t="s">
        <v>17</v>
      </c>
      <c r="G4" s="3">
        <v>1</v>
      </c>
      <c r="H4" s="4">
        <v>0.46306475734701291</v>
      </c>
      <c r="I4" s="4">
        <v>0.46008719030477729</v>
      </c>
      <c r="J4" s="4">
        <v>0.46193399727717599</v>
      </c>
      <c r="K4" s="4">
        <v>0.45805181319540472</v>
      </c>
      <c r="L4" s="4">
        <v>0.45319322806682028</v>
      </c>
      <c r="M4" s="4">
        <v>0.43658196885299638</v>
      </c>
      <c r="N4" s="4">
        <v>0.46910496146667507</v>
      </c>
      <c r="O4" s="4">
        <v>0.4493737088130052</v>
      </c>
      <c r="P4" s="4">
        <v>0.45642395316548351</v>
      </c>
    </row>
    <row r="5" spans="1:16" x14ac:dyDescent="0.2">
      <c r="A5" s="2">
        <v>2</v>
      </c>
      <c r="B5" s="3" t="s">
        <v>18</v>
      </c>
      <c r="C5" s="3">
        <v>12</v>
      </c>
      <c r="D5" s="3" t="s">
        <v>17</v>
      </c>
      <c r="E5" s="3">
        <v>1</v>
      </c>
      <c r="F5" s="3" t="s">
        <v>17</v>
      </c>
      <c r="G5" s="3">
        <v>1</v>
      </c>
      <c r="H5" s="4">
        <v>0.46239073326871483</v>
      </c>
      <c r="I5" s="4">
        <v>0.47113689241056012</v>
      </c>
      <c r="J5" s="4">
        <v>0.44398509978929479</v>
      </c>
      <c r="K5" s="4">
        <v>0.4607491230745781</v>
      </c>
      <c r="L5" s="4">
        <v>0.45387738625138319</v>
      </c>
      <c r="M5" s="4">
        <v>0.4508656754856662</v>
      </c>
      <c r="N5" s="4">
        <v>0.4651862136880896</v>
      </c>
      <c r="O5" s="4">
        <v>0.44413261542631649</v>
      </c>
      <c r="P5" s="4">
        <v>0.45654046742432541</v>
      </c>
    </row>
    <row r="6" spans="1:16" x14ac:dyDescent="0.2">
      <c r="A6" s="2">
        <v>3</v>
      </c>
      <c r="B6" s="3" t="s">
        <v>17</v>
      </c>
      <c r="C6" s="3">
        <v>11</v>
      </c>
      <c r="D6" s="3" t="s">
        <v>18</v>
      </c>
      <c r="E6" s="3">
        <v>2</v>
      </c>
      <c r="F6" s="3" t="s">
        <v>17</v>
      </c>
      <c r="G6" s="3">
        <v>1</v>
      </c>
      <c r="H6" s="4">
        <v>0.41003896061252237</v>
      </c>
      <c r="I6" s="4">
        <v>0.40140351752836367</v>
      </c>
      <c r="J6" s="4">
        <v>0.41140052391560561</v>
      </c>
      <c r="K6" s="4">
        <v>0.41033604324150053</v>
      </c>
      <c r="L6" s="4">
        <v>0.39591086197910752</v>
      </c>
      <c r="M6" s="4">
        <v>0.41059995335729799</v>
      </c>
      <c r="N6" s="4">
        <v>0.39947927439367559</v>
      </c>
      <c r="O6" s="4">
        <v>0.41693079926996413</v>
      </c>
      <c r="P6" s="4">
        <v>0.40701249178725468</v>
      </c>
    </row>
    <row r="7" spans="1:16" x14ac:dyDescent="0.2">
      <c r="A7" s="2">
        <v>4</v>
      </c>
      <c r="B7" s="3" t="s">
        <v>18</v>
      </c>
      <c r="C7" s="3">
        <v>12</v>
      </c>
      <c r="D7" s="3" t="s">
        <v>18</v>
      </c>
      <c r="E7" s="3">
        <v>2</v>
      </c>
      <c r="F7" s="3" t="s">
        <v>17</v>
      </c>
      <c r="G7" s="3">
        <v>1</v>
      </c>
      <c r="H7" s="4">
        <v>0.41444942730395851</v>
      </c>
      <c r="I7" s="4">
        <v>0.40859786445478657</v>
      </c>
      <c r="J7" s="4">
        <v>0.40940190466731818</v>
      </c>
      <c r="K7" s="4">
        <v>0.39885635242773892</v>
      </c>
      <c r="L7" s="4">
        <v>0.40784441722970238</v>
      </c>
      <c r="M7" s="4">
        <v>0.42282200413439291</v>
      </c>
      <c r="N7" s="4">
        <v>0.40866056847840398</v>
      </c>
      <c r="O7" s="4">
        <v>0.4200704656228611</v>
      </c>
      <c r="P7" s="4">
        <v>0.41133787553989531</v>
      </c>
    </row>
    <row r="8" spans="1:16" x14ac:dyDescent="0.2">
      <c r="A8" s="2">
        <v>5</v>
      </c>
      <c r="B8" s="3" t="s">
        <v>17</v>
      </c>
      <c r="C8" s="3">
        <v>11</v>
      </c>
      <c r="D8" s="3" t="s">
        <v>17</v>
      </c>
      <c r="E8" s="3">
        <v>1</v>
      </c>
      <c r="F8" s="3" t="s">
        <v>18</v>
      </c>
      <c r="G8" s="3">
        <v>2</v>
      </c>
      <c r="H8" s="4">
        <v>0.46151308038902539</v>
      </c>
      <c r="I8" s="4">
        <v>0.4585931007571985</v>
      </c>
      <c r="J8" s="4">
        <v>0.46093957049124662</v>
      </c>
      <c r="K8" s="4">
        <v>0.45655638145513899</v>
      </c>
      <c r="L8" s="4">
        <v>0.45228995551374002</v>
      </c>
      <c r="M8" s="4">
        <v>0.43444871756287701</v>
      </c>
      <c r="N8" s="4">
        <v>0.46749609464668651</v>
      </c>
      <c r="O8" s="4">
        <v>0.44797266898793558</v>
      </c>
      <c r="P8" s="4">
        <v>0.45497619622548102</v>
      </c>
    </row>
    <row r="9" spans="1:16" x14ac:dyDescent="0.2">
      <c r="A9" s="2">
        <v>6</v>
      </c>
      <c r="B9" s="3" t="s">
        <v>18</v>
      </c>
      <c r="C9" s="3">
        <v>12</v>
      </c>
      <c r="D9" s="3" t="s">
        <v>17</v>
      </c>
      <c r="E9" s="3">
        <v>1</v>
      </c>
      <c r="F9" s="3" t="s">
        <v>18</v>
      </c>
      <c r="G9" s="3">
        <v>2</v>
      </c>
      <c r="H9" s="4">
        <v>0.46074974653386791</v>
      </c>
      <c r="I9" s="4">
        <v>0.46912103334647481</v>
      </c>
      <c r="J9" s="4">
        <v>0.441775572543053</v>
      </c>
      <c r="K9" s="4">
        <v>0.45912793809871211</v>
      </c>
      <c r="L9" s="4">
        <v>0.45092830050498028</v>
      </c>
      <c r="M9" s="4">
        <v>0.4494565884855759</v>
      </c>
      <c r="N9" s="4">
        <v>0.46415045308641861</v>
      </c>
      <c r="O9" s="4">
        <v>0.44177022984051367</v>
      </c>
      <c r="P9" s="4">
        <v>0.45463498280494952</v>
      </c>
    </row>
    <row r="10" spans="1:16" x14ac:dyDescent="0.2">
      <c r="A10" s="2">
        <v>7</v>
      </c>
      <c r="B10" s="3" t="s">
        <v>17</v>
      </c>
      <c r="C10" s="3">
        <v>11</v>
      </c>
      <c r="D10" s="3" t="s">
        <v>18</v>
      </c>
      <c r="E10" s="3">
        <v>2</v>
      </c>
      <c r="F10" s="3" t="s">
        <v>18</v>
      </c>
      <c r="G10" s="3">
        <v>2</v>
      </c>
      <c r="H10" s="4">
        <v>0.40977962911952348</v>
      </c>
      <c r="I10" s="4">
        <v>0.39978445998766809</v>
      </c>
      <c r="J10" s="4">
        <v>0.41090009686743739</v>
      </c>
      <c r="K10" s="4">
        <v>0.40967758671559679</v>
      </c>
      <c r="L10" s="4">
        <v>0.39559065144511579</v>
      </c>
      <c r="M10" s="4">
        <v>0.41028634085957771</v>
      </c>
      <c r="N10" s="4">
        <v>0.39912498097629462</v>
      </c>
      <c r="O10" s="4">
        <v>0.41644490119119171</v>
      </c>
      <c r="P10" s="4">
        <v>0.40644858089530073</v>
      </c>
    </row>
    <row r="11" spans="1:16" x14ac:dyDescent="0.2">
      <c r="A11" s="2">
        <v>8</v>
      </c>
      <c r="B11" s="3" t="s">
        <v>18</v>
      </c>
      <c r="C11" s="3">
        <v>12</v>
      </c>
      <c r="D11" s="3" t="s">
        <v>18</v>
      </c>
      <c r="E11" s="3">
        <v>2</v>
      </c>
      <c r="F11" s="3" t="s">
        <v>18</v>
      </c>
      <c r="G11" s="3">
        <v>2</v>
      </c>
      <c r="H11" s="4">
        <v>0.41389505795522069</v>
      </c>
      <c r="I11" s="4">
        <v>0.40801405073560548</v>
      </c>
      <c r="J11" s="4">
        <v>0.40888639996116971</v>
      </c>
      <c r="K11" s="4">
        <v>0.39830772744979132</v>
      </c>
      <c r="L11" s="4">
        <v>0.40698712033934858</v>
      </c>
      <c r="M11" s="4">
        <v>0.42249214214850739</v>
      </c>
      <c r="N11" s="4">
        <v>0.40859688782411219</v>
      </c>
      <c r="O11" s="4">
        <v>0.41912685712512132</v>
      </c>
      <c r="P11" s="4">
        <v>0.41078828044235949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workbookViewId="0">
      <pane ySplit="3" topLeftCell="A4" activePane="bottomLeft" state="frozen"/>
      <selection pane="bottomLeft" activeCell="E23" sqref="E23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13" t="s">
        <v>19</v>
      </c>
      <c r="B1" s="14"/>
      <c r="C1" s="14"/>
      <c r="D1" s="14"/>
      <c r="E1" s="14"/>
      <c r="F1" s="14"/>
      <c r="G1" s="14"/>
      <c r="H1" s="14"/>
    </row>
    <row r="3" spans="1:8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</row>
    <row r="4" spans="1:8" x14ac:dyDescent="0.2">
      <c r="A4" s="3">
        <v>1</v>
      </c>
      <c r="B4" s="4">
        <v>1.7721343984194169E-3</v>
      </c>
      <c r="C4" s="4">
        <v>-4.9888810636848982E-2</v>
      </c>
      <c r="D4" s="4">
        <v>-1.001591133642746E-3</v>
      </c>
      <c r="E4" s="4">
        <v>2.490813365147226E-3</v>
      </c>
      <c r="F4" s="4">
        <v>-9.6086908149578543E-5</v>
      </c>
      <c r="G4" s="4">
        <v>5.9474071277439144E-4</v>
      </c>
      <c r="H4" s="4">
        <v>-5.1432019719854782E-5</v>
      </c>
    </row>
    <row r="5" spans="1:8" x14ac:dyDescent="0.2">
      <c r="A5" s="3">
        <v>2</v>
      </c>
      <c r="B5" s="4">
        <v>9.2503930923548278E-3</v>
      </c>
      <c r="C5" s="4">
        <v>-6.0284581028146683E-2</v>
      </c>
      <c r="D5" s="4">
        <v>-1.4282049678851769E-3</v>
      </c>
      <c r="E5" s="4">
        <v>-1.538424255174711E-3</v>
      </c>
      <c r="F5" s="4">
        <v>1.28368576252022E-4</v>
      </c>
      <c r="G5" s="4">
        <v>3.2676933794681401E-4</v>
      </c>
      <c r="H5" s="4">
        <v>3.8925333450524902E-4</v>
      </c>
    </row>
    <row r="6" spans="1:8" x14ac:dyDescent="0.2">
      <c r="A6" s="3">
        <v>3</v>
      </c>
      <c r="B6" s="4">
        <v>-1.028130289765747E-2</v>
      </c>
      <c r="C6" s="4">
        <v>-4.2011328672309868E-2</v>
      </c>
      <c r="D6" s="4">
        <v>-1.0549714466220189E-3</v>
      </c>
      <c r="E6" s="4">
        <v>8.2751448203799149E-3</v>
      </c>
      <c r="F6" s="4">
        <v>-3.0754452957321149E-4</v>
      </c>
      <c r="G6" s="4">
        <v>5.4700556946364609E-4</v>
      </c>
      <c r="H6" s="4">
        <v>3.000057005829726E-4</v>
      </c>
    </row>
    <row r="7" spans="1:8" x14ac:dyDescent="0.2">
      <c r="A7" s="3">
        <v>4</v>
      </c>
      <c r="B7" s="4">
        <v>-4.3951708892051439E-3</v>
      </c>
      <c r="C7" s="4">
        <v>-5.4326886497301607E-2</v>
      </c>
      <c r="D7" s="4">
        <v>-1.080924554995699E-3</v>
      </c>
      <c r="E7" s="4">
        <v>-7.0296041505784196E-3</v>
      </c>
      <c r="F7" s="4">
        <v>-3.9804219110900494E-6</v>
      </c>
      <c r="G7" s="4">
        <v>4.773838030701083E-4</v>
      </c>
      <c r="H7" s="4">
        <v>5.8896195889071579E-5</v>
      </c>
    </row>
    <row r="8" spans="1:8" x14ac:dyDescent="0.2">
      <c r="A8" s="3">
        <v>5</v>
      </c>
      <c r="B8" s="4">
        <v>5.6631318301577083E-3</v>
      </c>
      <c r="C8" s="4">
        <v>-5.0988954835912301E-2</v>
      </c>
      <c r="D8" s="4">
        <v>-1.2574664309571849E-3</v>
      </c>
      <c r="E8" s="4">
        <v>6.001880242256119E-3</v>
      </c>
      <c r="F8" s="4">
        <v>-6.4572488742115075E-4</v>
      </c>
      <c r="G8" s="4">
        <v>6.6871271878445049E-4</v>
      </c>
      <c r="H8" s="4">
        <v>3.7718170924011529E-4</v>
      </c>
    </row>
    <row r="9" spans="1:8" x14ac:dyDescent="0.2">
      <c r="A9" s="3">
        <v>6</v>
      </c>
      <c r="B9" s="4">
        <v>1.342985740534834E-2</v>
      </c>
      <c r="C9" s="4">
        <v>-2.628812747183484E-2</v>
      </c>
      <c r="D9" s="4">
        <v>-1.0464531934538111E-3</v>
      </c>
      <c r="E9" s="4">
        <v>-1.21593137233604E-3</v>
      </c>
      <c r="F9" s="4">
        <v>1.7697870046597119E-4</v>
      </c>
      <c r="G9" s="4">
        <v>7.2471595165096714E-4</v>
      </c>
      <c r="H9" s="4">
        <v>-1.8510344454859831E-4</v>
      </c>
    </row>
    <row r="10" spans="1:8" x14ac:dyDescent="0.2">
      <c r="A10" s="3">
        <v>7</v>
      </c>
      <c r="B10" s="4">
        <v>2.847202898423148E-3</v>
      </c>
      <c r="C10" s="4">
        <v>-6.2519002803845758E-2</v>
      </c>
      <c r="D10" s="4">
        <v>-7.656503733331349E-4</v>
      </c>
      <c r="E10" s="4">
        <v>6.4793975678498336E-3</v>
      </c>
      <c r="F10" s="4">
        <v>2.1592974535168669E-4</v>
      </c>
      <c r="G10" s="4">
        <v>5.5666333749669616E-4</v>
      </c>
      <c r="H10" s="4">
        <v>-7.0623363807101325E-5</v>
      </c>
    </row>
    <row r="11" spans="1:8" x14ac:dyDescent="0.2">
      <c r="A11" s="3">
        <v>8</v>
      </c>
      <c r="B11" s="4">
        <v>-1.405477561821022E-3</v>
      </c>
      <c r="C11" s="4">
        <v>-2.7669049964658229E-2</v>
      </c>
      <c r="D11" s="4">
        <v>-1.298232996846102E-3</v>
      </c>
      <c r="E11" s="4">
        <v>4.3162887052342891E-3</v>
      </c>
      <c r="F11" s="4">
        <v>-3.5476404492515429E-4</v>
      </c>
      <c r="G11" s="4">
        <v>5.8347970859003173E-4</v>
      </c>
      <c r="H11" s="4">
        <v>1.2590883544144621E-4</v>
      </c>
    </row>
    <row r="14" spans="1:8" x14ac:dyDescent="0.2">
      <c r="A14" s="15" t="s">
        <v>28</v>
      </c>
      <c r="B14" s="14"/>
      <c r="C14" s="14"/>
      <c r="D14" s="14"/>
      <c r="E14" s="14"/>
      <c r="F14" s="14"/>
      <c r="G14" s="14"/>
    </row>
    <row r="15" spans="1:8" x14ac:dyDescent="0.2">
      <c r="A15" s="1" t="s">
        <v>29</v>
      </c>
      <c r="B15" s="1" t="s">
        <v>30</v>
      </c>
      <c r="C15" s="1" t="s">
        <v>31</v>
      </c>
      <c r="D15" s="8" t="s">
        <v>65</v>
      </c>
      <c r="E15" s="1" t="s">
        <v>32</v>
      </c>
      <c r="F15" s="1" t="s">
        <v>33</v>
      </c>
      <c r="G15" s="1" t="s">
        <v>34</v>
      </c>
      <c r="H15" s="1" t="s">
        <v>35</v>
      </c>
    </row>
    <row r="16" spans="1:8" ht="28" x14ac:dyDescent="0.2">
      <c r="A16" s="5" t="s">
        <v>21</v>
      </c>
      <c r="B16" s="4">
        <v>2.1100960345024761E-3</v>
      </c>
      <c r="C16" s="4">
        <v>7.5652114547405686E-3</v>
      </c>
      <c r="D16" s="4">
        <f>_xlfn.T.INV.2T(0.1/7,7)</f>
        <v>3.2383460877280466</v>
      </c>
      <c r="E16" s="4">
        <f>C16*D16/SQRT(4)</f>
        <v>1.2249386458647262E-2</v>
      </c>
      <c r="F16" s="4">
        <f>B16-E16</f>
        <v>-1.0139290424144786E-2</v>
      </c>
      <c r="G16" s="9">
        <f>B16+E16</f>
        <v>1.4359482493149738E-2</v>
      </c>
      <c r="H16" s="10" t="s">
        <v>36</v>
      </c>
    </row>
    <row r="17" spans="1:8" ht="16" x14ac:dyDescent="0.2">
      <c r="A17" s="5" t="s">
        <v>22</v>
      </c>
      <c r="B17" s="4">
        <v>-4.6747092738857278E-2</v>
      </c>
      <c r="C17" s="4">
        <v>1.3744101240104421E-2</v>
      </c>
      <c r="D17" s="4">
        <f t="shared" ref="D17:D22" si="0">_xlfn.T.INV.2T(0.1/7,7)</f>
        <v>3.2383460877280466</v>
      </c>
      <c r="E17" s="4">
        <f t="shared" ref="E17:E22" si="1">C17*D17/SQRT(4)</f>
        <v>2.2254078240115171E-2</v>
      </c>
      <c r="F17" s="4">
        <f t="shared" ref="F17:F21" si="2">B17-E17</f>
        <v>-6.9001170978972445E-2</v>
      </c>
      <c r="G17" s="9">
        <f t="shared" ref="G17:G22" si="3">B17+E17</f>
        <v>-2.4493014498742107E-2</v>
      </c>
      <c r="H17" s="11" t="s">
        <v>37</v>
      </c>
    </row>
    <row r="18" spans="1:8" ht="16" x14ac:dyDescent="0.2">
      <c r="A18" s="5" t="s">
        <v>23</v>
      </c>
      <c r="B18" s="4">
        <v>-1.1166868872169841E-3</v>
      </c>
      <c r="C18" s="4">
        <v>2.0574448882195909E-4</v>
      </c>
      <c r="D18" s="4">
        <f t="shared" si="0"/>
        <v>3.2383460877280466</v>
      </c>
      <c r="E18" s="4">
        <f t="shared" si="1"/>
        <v>3.33135930224099E-4</v>
      </c>
      <c r="F18" s="4">
        <f t="shared" si="2"/>
        <v>-1.4498228174410831E-3</v>
      </c>
      <c r="G18" s="9">
        <f t="shared" si="3"/>
        <v>-7.8355095699288516E-4</v>
      </c>
      <c r="H18" s="11" t="s">
        <v>37</v>
      </c>
    </row>
    <row r="19" spans="1:8" ht="28" x14ac:dyDescent="0.2">
      <c r="A19" s="5" t="s">
        <v>38</v>
      </c>
      <c r="B19" s="4">
        <v>2.222445615347277E-3</v>
      </c>
      <c r="C19" s="4">
        <v>5.1417636939282661E-3</v>
      </c>
      <c r="D19" s="4">
        <f t="shared" si="0"/>
        <v>3.2383460877280466</v>
      </c>
      <c r="E19" s="4">
        <f t="shared" si="1"/>
        <v>8.3254051711273546E-3</v>
      </c>
      <c r="F19" s="4">
        <f t="shared" si="2"/>
        <v>-6.102959555780078E-3</v>
      </c>
      <c r="G19" s="9">
        <f t="shared" si="3"/>
        <v>1.0547850786474631E-2</v>
      </c>
      <c r="H19" s="10" t="s">
        <v>36</v>
      </c>
    </row>
    <row r="20" spans="1:8" ht="28" x14ac:dyDescent="0.2">
      <c r="A20" s="5" t="s">
        <v>39</v>
      </c>
      <c r="B20" s="4">
        <v>-1.108529712388132E-4</v>
      </c>
      <c r="C20" s="4">
        <v>3.0302496125588472E-4</v>
      </c>
      <c r="D20" s="4">
        <f t="shared" si="0"/>
        <v>3.2383460877280466</v>
      </c>
      <c r="E20" s="4">
        <f>C20*D20/SQRT(4)</f>
        <v>4.9064984888346863E-4</v>
      </c>
      <c r="F20" s="4">
        <f t="shared" si="2"/>
        <v>-6.0150282012228179E-4</v>
      </c>
      <c r="G20" s="12">
        <f>B20+E20</f>
        <v>3.7979687764465542E-4</v>
      </c>
      <c r="H20" s="10" t="s">
        <v>36</v>
      </c>
    </row>
    <row r="21" spans="1:8" ht="28" x14ac:dyDescent="0.2">
      <c r="A21" s="5" t="s">
        <v>40</v>
      </c>
      <c r="B21" s="4">
        <v>5.5993389247213816E-4</v>
      </c>
      <c r="C21" s="4">
        <v>1.2077721230800221E-4</v>
      </c>
      <c r="D21" s="4">
        <f t="shared" si="0"/>
        <v>3.2383460877280466</v>
      </c>
      <c r="E21" s="4">
        <f t="shared" si="1"/>
        <v>1.9555920648215929E-4</v>
      </c>
      <c r="F21" s="4">
        <f t="shared" si="2"/>
        <v>3.643746859899789E-4</v>
      </c>
      <c r="G21" s="9">
        <f t="shared" si="3"/>
        <v>7.5549309895429743E-4</v>
      </c>
      <c r="H21" s="11" t="s">
        <v>37</v>
      </c>
    </row>
    <row r="22" spans="1:8" ht="28" x14ac:dyDescent="0.2">
      <c r="A22" s="5" t="s">
        <v>41</v>
      </c>
      <c r="B22" s="4">
        <v>1.180108684479125E-4</v>
      </c>
      <c r="C22" s="4">
        <v>2.183029003473519E-4</v>
      </c>
      <c r="D22" s="4">
        <f t="shared" si="0"/>
        <v>3.2383460877280466</v>
      </c>
      <c r="E22" s="4">
        <f t="shared" si="1"/>
        <v>3.534701716397663E-4</v>
      </c>
      <c r="F22" s="4">
        <f>B22-E22</f>
        <v>-2.3545930319185379E-4</v>
      </c>
      <c r="G22" s="9">
        <f t="shared" si="3"/>
        <v>4.7148104008767878E-4</v>
      </c>
      <c r="H22" s="10" t="s">
        <v>36</v>
      </c>
    </row>
  </sheetData>
  <mergeCells count="2">
    <mergeCell ref="A14:G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13" t="s">
        <v>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3" spans="1:17" x14ac:dyDescent="0.2">
      <c r="A3" s="1" t="s">
        <v>43</v>
      </c>
    </row>
    <row r="4" spans="1:17" x14ac:dyDescent="0.2">
      <c r="A4" s="1" t="s">
        <v>44</v>
      </c>
      <c r="B4" s="1" t="s">
        <v>45</v>
      </c>
      <c r="C4" s="1" t="s">
        <v>46</v>
      </c>
      <c r="E4" s="1" t="s">
        <v>44</v>
      </c>
      <c r="F4" s="1" t="s">
        <v>45</v>
      </c>
      <c r="G4" s="1" t="s">
        <v>47</v>
      </c>
      <c r="I4" s="1" t="s">
        <v>44</v>
      </c>
      <c r="J4" s="1" t="s">
        <v>45</v>
      </c>
      <c r="K4" s="1" t="s">
        <v>48</v>
      </c>
    </row>
    <row r="5" spans="1:17" x14ac:dyDescent="0.2">
      <c r="A5" s="3" t="s">
        <v>17</v>
      </c>
      <c r="B5" s="4">
        <v>0.43121530551837989</v>
      </c>
      <c r="C5" s="6">
        <v>11</v>
      </c>
      <c r="E5" s="3" t="s">
        <v>17</v>
      </c>
      <c r="F5" s="4">
        <v>0.45564389990505982</v>
      </c>
      <c r="G5" s="6">
        <v>1</v>
      </c>
      <c r="I5" s="3" t="s">
        <v>17</v>
      </c>
      <c r="J5" s="4">
        <v>0.4328286969792397</v>
      </c>
      <c r="K5" s="6">
        <v>1</v>
      </c>
    </row>
    <row r="6" spans="1:17" x14ac:dyDescent="0.2">
      <c r="A6" s="3" t="s">
        <v>18</v>
      </c>
      <c r="B6" s="4">
        <v>0.43332540155288241</v>
      </c>
      <c r="C6" s="6">
        <v>12</v>
      </c>
      <c r="E6" s="3" t="s">
        <v>18</v>
      </c>
      <c r="F6" s="4">
        <v>0.40889680716620252</v>
      </c>
      <c r="G6" s="6">
        <v>2</v>
      </c>
      <c r="I6" s="3" t="s">
        <v>18</v>
      </c>
      <c r="J6" s="4">
        <v>0.4317120100920227</v>
      </c>
      <c r="K6" s="6">
        <v>2</v>
      </c>
    </row>
    <row r="25" spans="1:8" ht="28" x14ac:dyDescent="0.2">
      <c r="A25" s="1" t="s">
        <v>49</v>
      </c>
    </row>
    <row r="27" spans="1:8" x14ac:dyDescent="0.2">
      <c r="A27" s="15" t="s">
        <v>50</v>
      </c>
      <c r="B27" s="16"/>
      <c r="C27" s="17"/>
      <c r="E27" s="15" t="s">
        <v>51</v>
      </c>
      <c r="F27" s="16"/>
      <c r="G27" s="17"/>
    </row>
    <row r="28" spans="1:8" x14ac:dyDescent="0.2">
      <c r="A28" s="1" t="s">
        <v>46</v>
      </c>
      <c r="B28" s="1" t="s">
        <v>52</v>
      </c>
      <c r="C28" s="1" t="s">
        <v>53</v>
      </c>
      <c r="D28" s="1" t="s">
        <v>54</v>
      </c>
      <c r="E28" s="1" t="s">
        <v>46</v>
      </c>
      <c r="F28" s="1" t="s">
        <v>52</v>
      </c>
      <c r="G28" s="1" t="s">
        <v>53</v>
      </c>
      <c r="H28" s="1" t="s">
        <v>54</v>
      </c>
    </row>
    <row r="29" spans="1:8" x14ac:dyDescent="0.2">
      <c r="A29" s="3">
        <v>11</v>
      </c>
      <c r="B29" s="4">
        <v>0.45642395316548351</v>
      </c>
      <c r="C29" s="4">
        <v>0.40701249178725468</v>
      </c>
      <c r="E29" s="3">
        <v>11</v>
      </c>
      <c r="F29" s="4">
        <v>0.45497619622548102</v>
      </c>
      <c r="G29" s="4">
        <v>0.40644858089530073</v>
      </c>
    </row>
    <row r="30" spans="1:8" x14ac:dyDescent="0.2">
      <c r="A30" s="3">
        <v>12</v>
      </c>
      <c r="B30" s="4">
        <v>0.45654046742432541</v>
      </c>
      <c r="C30" s="4">
        <v>0.41133787553989531</v>
      </c>
      <c r="E30" s="3">
        <v>12</v>
      </c>
      <c r="F30" s="4">
        <v>0.45463498280494952</v>
      </c>
      <c r="G30" s="4">
        <v>0.41078828044235949</v>
      </c>
    </row>
    <row r="52" spans="1:8" x14ac:dyDescent="0.2">
      <c r="A52" s="15" t="s">
        <v>55</v>
      </c>
      <c r="B52" s="16"/>
      <c r="C52" s="17"/>
      <c r="E52" s="15" t="s">
        <v>56</v>
      </c>
      <c r="F52" s="16"/>
      <c r="G52" s="17"/>
    </row>
    <row r="53" spans="1:8" x14ac:dyDescent="0.2">
      <c r="A53" s="1" t="s">
        <v>46</v>
      </c>
      <c r="B53" s="1" t="s">
        <v>57</v>
      </c>
      <c r="C53" s="1" t="s">
        <v>58</v>
      </c>
      <c r="D53" s="1" t="s">
        <v>59</v>
      </c>
      <c r="E53" s="1" t="s">
        <v>46</v>
      </c>
      <c r="F53" s="1" t="s">
        <v>57</v>
      </c>
      <c r="G53" s="1" t="s">
        <v>58</v>
      </c>
      <c r="H53" s="1" t="s">
        <v>59</v>
      </c>
    </row>
    <row r="54" spans="1:8" x14ac:dyDescent="0.2">
      <c r="A54" s="3">
        <v>11</v>
      </c>
      <c r="B54" s="4">
        <v>0.45642395316548351</v>
      </c>
      <c r="C54" s="4">
        <v>0.45497619622548102</v>
      </c>
      <c r="E54" s="3">
        <v>11</v>
      </c>
      <c r="F54" s="4">
        <v>0.40701249178725468</v>
      </c>
      <c r="G54" s="4">
        <v>0.40644858089530073</v>
      </c>
    </row>
    <row r="55" spans="1:8" x14ac:dyDescent="0.2">
      <c r="A55" s="3">
        <v>12</v>
      </c>
      <c r="B55" s="4">
        <v>0.45654046742432541</v>
      </c>
      <c r="C55" s="4">
        <v>0.45463498280494952</v>
      </c>
      <c r="E55" s="3">
        <v>12</v>
      </c>
      <c r="F55" s="4">
        <v>0.41133787553989531</v>
      </c>
      <c r="G55" s="4">
        <v>0.41078828044235949</v>
      </c>
    </row>
    <row r="77" spans="1:8" x14ac:dyDescent="0.2">
      <c r="A77" s="15" t="s">
        <v>60</v>
      </c>
      <c r="B77" s="16"/>
      <c r="C77" s="17"/>
      <c r="E77" s="15" t="s">
        <v>61</v>
      </c>
      <c r="F77" s="16"/>
      <c r="G77" s="17"/>
    </row>
    <row r="78" spans="1:8" ht="28" x14ac:dyDescent="0.2">
      <c r="A78" s="1" t="s">
        <v>47</v>
      </c>
      <c r="B78" s="1" t="s">
        <v>57</v>
      </c>
      <c r="C78" s="1" t="s">
        <v>58</v>
      </c>
      <c r="D78" s="1" t="s">
        <v>62</v>
      </c>
      <c r="E78" s="1" t="s">
        <v>47</v>
      </c>
      <c r="F78" s="1" t="s">
        <v>57</v>
      </c>
      <c r="G78" s="1" t="s">
        <v>58</v>
      </c>
      <c r="H78" s="1" t="s">
        <v>62</v>
      </c>
    </row>
    <row r="79" spans="1:8" x14ac:dyDescent="0.2">
      <c r="A79" s="3">
        <v>1</v>
      </c>
      <c r="B79" s="4">
        <v>0.45642395316548351</v>
      </c>
      <c r="C79" s="4">
        <v>0.45497619622548102</v>
      </c>
      <c r="E79" s="3">
        <v>1</v>
      </c>
      <c r="F79" s="4">
        <v>0.45654046742432541</v>
      </c>
      <c r="G79" s="4">
        <v>0.45463498280494952</v>
      </c>
    </row>
    <row r="80" spans="1:8" x14ac:dyDescent="0.2">
      <c r="A80" s="3">
        <v>2</v>
      </c>
      <c r="B80" s="4">
        <v>0.40701249178725468</v>
      </c>
      <c r="C80" s="4">
        <v>0.40644858089530073</v>
      </c>
      <c r="E80" s="3">
        <v>2</v>
      </c>
      <c r="F80" s="4">
        <v>0.41133787553989531</v>
      </c>
      <c r="G80" s="4">
        <v>0.41078828044235949</v>
      </c>
    </row>
    <row r="110" spans="1:1" ht="28" x14ac:dyDescent="0.2">
      <c r="A110" s="1" t="s">
        <v>63</v>
      </c>
    </row>
    <row r="111" spans="1:1" ht="208" x14ac:dyDescent="0.2">
      <c r="A111" s="7" t="s">
        <v>64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2026-05-06T16:03:18Z</dcterms:created>
  <dcterms:modified xsi:type="dcterms:W3CDTF">2026-05-06T16:37:16Z</dcterms:modified>
</cp:coreProperties>
</file>