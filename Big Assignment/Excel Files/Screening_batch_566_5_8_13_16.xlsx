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6CD4AD87-D932-4644-B5B1-135D859EB369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2" i="2" l="1"/>
  <c r="E22" i="2" s="1"/>
  <c r="D21" i="2"/>
  <c r="E21" i="2" s="1"/>
  <c r="D20" i="2"/>
  <c r="E20" i="2" s="1"/>
  <c r="D19" i="2"/>
  <c r="E19" i="2" s="1"/>
  <c r="D18" i="2"/>
  <c r="E18" i="2" s="1"/>
  <c r="D17" i="2"/>
  <c r="E17" i="2" s="1"/>
  <c r="D16" i="2"/>
  <c r="E16" i="2" s="1"/>
  <c r="G16" i="2" l="1"/>
  <c r="F16" i="2"/>
  <c r="G17" i="2"/>
  <c r="F17" i="2"/>
  <c r="G18" i="2"/>
  <c r="F18" i="2"/>
  <c r="G19" i="2"/>
  <c r="F19" i="2"/>
  <c r="G20" i="2"/>
  <c r="F20" i="2"/>
  <c r="G21" i="2"/>
  <c r="F21" i="2"/>
  <c r="G22" i="2"/>
  <c r="F22" i="2"/>
</calcChain>
</file>

<file path=xl/sharedStrings.xml><?xml version="1.0" encoding="utf-8"?>
<sst xmlns="http://schemas.openxmlformats.org/spreadsheetml/2006/main" count="123" uniqueCount="66">
  <si>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</si>
  <si>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</si>
  <si>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</si>
  <si>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</si>
  <si>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</si>
  <si>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</si>
  <si>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</si>
  <si>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</si>
  <si>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</si>
  <si>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</si>
  <si>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</si>
  <si>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</si>
  <si>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Batch 5</t>
  </si>
  <si>
    <t>Batch 6</t>
  </si>
  <si>
    <t>Batch 7</t>
  </si>
  <si>
    <t>Batch 8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</si>
  <si>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</si>
  <si>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</si>
  <si>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</si>
  <si>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</si>
  <si>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</si>
  <si>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</si>
  <si>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</si>
  <si>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</si>
  <si>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</si>
  <si>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</si>
  <si>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</si>
  <si>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</si>
  <si>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</si>
  <si>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</si>
  <si>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</si>
  <si>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</si>
  <si>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</si>
  <si>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</si>
  <si>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</si>
  <si>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</si>
  <si>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YES</t>
  </si>
  <si>
    <t>NO</t>
  </si>
  <si>
    <t>e12 urgent × strategy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</si>
  <si>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</si>
  <si>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</si>
  <si>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</si>
  <si>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</si>
  <si>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</si>
  <si>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</si>
  <si>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</si>
  <si>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</si>
  <si>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</si>
  <si>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</si>
  <si>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</si>
  <si>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(2)</t>
  </si>
  <si>
    <t>Interaction urgent slots × strategy | rule = + (4)</t>
  </si>
  <si>
    <t>strategy -</t>
  </si>
  <si>
    <t>strategy +</t>
  </si>
  <si>
    <t>fixed rule</t>
  </si>
  <si>
    <t>Interaction urgent slots × rule | strategy = - (2)</t>
  </si>
  <si>
    <t>Interaction urgent slots × rule | strategy = + (3)</t>
  </si>
  <si>
    <t>rule -</t>
  </si>
  <si>
    <t>rule +</t>
  </si>
  <si>
    <t>fixed strategy</t>
  </si>
  <si>
    <t>Interaction strategy × rule | urgent slots = - (13)</t>
  </si>
  <si>
    <t>Interaction strategy × rule | urgent slots = + (16)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</si>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</sst>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6" fillId="4" borderId="0" xfId="1"/>
    <xf numFmtId="0" fontId="7" fillId="5" borderId="0" xfId="2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0.40729104992666809</c:v>
                </c:pt>
                <c:pt idx="1">
                  <c:v>0.475223440273155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D6-B54C-B8BB-01DA3A66B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0.44429673518044149</c:v>
                </c:pt>
                <c:pt idx="1">
                  <c:v>0.43821775501938148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61-374E-A79E-2B4B7073B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0.44133575535557301</c:v>
                </c:pt>
                <c:pt idx="1">
                  <c:v>0.44117873484425002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50-DB48-86AB-E5DBC2D8A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0.48259259907655971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4E-9B45-8E42-861E73CD2B26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0.40867631854990938</c:v>
                </c:pt>
                <c:pt idx="1">
                  <c:v>0.467840601037604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94E-9B45-8E42-861E73CD2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0.4057076828372021</c:v>
                </c:pt>
                <c:pt idx="1">
                  <c:v>0.48265315604978543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FE-F544-B448-D3EA808CA2D7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0.40854669556134182</c:v>
                </c:pt>
                <c:pt idx="1">
                  <c:v>0.46780740492867079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FE-F544-B448-D3EA808CA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0.48259259907655971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A8B-B449-A05E-DED8289A74A6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0.4057076828372021</c:v>
                </c:pt>
                <c:pt idx="1">
                  <c:v>0.48265315604978543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A8B-B449-A05E-DED8289A7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0.40867631854990938</c:v>
                </c:pt>
                <c:pt idx="1">
                  <c:v>0.467840601037604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A6-B740-BFB4-5EA0C61BE77E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13</c:v>
                </c:pt>
                <c:pt idx="1">
                  <c:v>16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0.40854669556134182</c:v>
                </c:pt>
                <c:pt idx="1">
                  <c:v>0.46780740492867079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A6-B740-BFB4-5EA0C61BE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0.40623350275821901</c:v>
                </c:pt>
                <c:pt idx="1">
                  <c:v>0.40867631854990938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82-854B-A7CF-DDE20A2992C1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0.4057076828372021</c:v>
                </c:pt>
                <c:pt idx="1">
                  <c:v>0.40854669556134182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82-854B-A7CF-DDE20A2992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0.48259259907655971</c:v>
                </c:pt>
                <c:pt idx="1">
                  <c:v>0.467840601037604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C2-AF43-BB61-A4B0DC0A708E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0.48265315604978543</c:v>
                </c:pt>
                <c:pt idx="1">
                  <c:v>0.46780740492867079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C2-AF43-BB61-A4B0DC0A7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>
      <pane ySplit="3" topLeftCell="A4" activePane="bottomLeft" state="frozen"/>
      <selection pane="bottomLeft" sqref="A1:P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5" width="14" customWidth="1"/>
    <col min="16" max="16" width="16" customWidth="1"/>
  </cols>
  <sheetData>
    <row r="1" spans="1:16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16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>
        <v>1</v>
      </c>
      <c r="B4" s="3" t="s">
        <v>17</v>
      </c>
      <c r="C4" s="3">
        <v>13</v>
      </c>
      <c r="D4" s="3" t="s">
        <v>17</v>
      </c>
      <c r="E4" s="3">
        <v>2</v>
      </c>
      <c r="F4" s="3" t="s">
        <v>17</v>
      </c>
      <c r="G4" s="3">
        <v>2</v>
      </c>
      <c r="H4" s="4">
        <v>0.41498660142026278</v>
      </c>
      <c r="I4" s="4">
        <v>0.40713143278026209</v>
      </c>
      <c r="J4" s="4">
        <v>0.41348580423385289</v>
      </c>
      <c r="K4" s="4">
        <v>0.40348532267118198</v>
      </c>
      <c r="L4" s="4">
        <v>0.38459038802382162</v>
      </c>
      <c r="M4" s="4">
        <v>0.40745107432617539</v>
      </c>
      <c r="N4" s="4">
        <v>0.41335197863298317</v>
      </c>
      <c r="O4" s="4">
        <v>0.40538541997721178</v>
      </c>
      <c r="P4" s="4">
        <v>0.40623350275821901</v>
      </c>
    </row>
    <row r="5" spans="1:16" x14ac:dyDescent="0.2">
      <c r="A5" s="2">
        <v>2</v>
      </c>
      <c r="B5" s="3" t="s">
        <v>18</v>
      </c>
      <c r="C5" s="3">
        <v>16</v>
      </c>
      <c r="D5" s="3" t="s">
        <v>17</v>
      </c>
      <c r="E5" s="3">
        <v>2</v>
      </c>
      <c r="F5" s="3" t="s">
        <v>17</v>
      </c>
      <c r="G5" s="3">
        <v>2</v>
      </c>
      <c r="H5" s="4">
        <v>0.46960664889985038</v>
      </c>
      <c r="I5" s="4">
        <v>0.48189150385360507</v>
      </c>
      <c r="J5" s="4">
        <v>0.45294502259830288</v>
      </c>
      <c r="K5" s="4">
        <v>0.5087137568443556</v>
      </c>
      <c r="L5" s="4">
        <v>0.49159499810900931</v>
      </c>
      <c r="M5" s="4">
        <v>0.50805858350243083</v>
      </c>
      <c r="N5" s="4">
        <v>0.47108941690265782</v>
      </c>
      <c r="O5" s="4">
        <v>0.47684086190226582</v>
      </c>
      <c r="P5" s="4">
        <v>0.48259259907655971</v>
      </c>
    </row>
    <row r="6" spans="1:16" x14ac:dyDescent="0.2">
      <c r="A6" s="2">
        <v>3</v>
      </c>
      <c r="B6" s="3" t="s">
        <v>17</v>
      </c>
      <c r="C6" s="3">
        <v>13</v>
      </c>
      <c r="D6" s="3" t="s">
        <v>18</v>
      </c>
      <c r="E6" s="3">
        <v>3</v>
      </c>
      <c r="F6" s="3" t="s">
        <v>17</v>
      </c>
      <c r="G6" s="3">
        <v>2</v>
      </c>
      <c r="H6" s="4">
        <v>0.42350775659124751</v>
      </c>
      <c r="I6" s="4">
        <v>0.41459578464083952</v>
      </c>
      <c r="J6" s="4">
        <v>0.39306126439230388</v>
      </c>
      <c r="K6" s="4">
        <v>0.41399204518645361</v>
      </c>
      <c r="L6" s="4">
        <v>0.4050343336138375</v>
      </c>
      <c r="M6" s="4">
        <v>0.39016780835922188</v>
      </c>
      <c r="N6" s="4">
        <v>0.41318670859737577</v>
      </c>
      <c r="O6" s="4">
        <v>0.4158648470179957</v>
      </c>
      <c r="P6" s="4">
        <v>0.40867631854990938</v>
      </c>
    </row>
    <row r="7" spans="1:16" x14ac:dyDescent="0.2">
      <c r="A7" s="2">
        <v>4</v>
      </c>
      <c r="B7" s="3" t="s">
        <v>18</v>
      </c>
      <c r="C7" s="3">
        <v>16</v>
      </c>
      <c r="D7" s="3" t="s">
        <v>18</v>
      </c>
      <c r="E7" s="3">
        <v>3</v>
      </c>
      <c r="F7" s="3" t="s">
        <v>17</v>
      </c>
      <c r="G7" s="3">
        <v>2</v>
      </c>
      <c r="H7" s="4">
        <v>0.45175543974466942</v>
      </c>
      <c r="I7" s="4">
        <v>0.46924195600018492</v>
      </c>
      <c r="J7" s="4">
        <v>0.44174595338259548</v>
      </c>
      <c r="K7" s="4">
        <v>0.48551699009246663</v>
      </c>
      <c r="L7" s="4">
        <v>0.48054392641803367</v>
      </c>
      <c r="M7" s="4">
        <v>0.49055503909602832</v>
      </c>
      <c r="N7" s="4">
        <v>0.45549279475589782</v>
      </c>
      <c r="O7" s="4">
        <v>0.46787270881095577</v>
      </c>
      <c r="P7" s="4">
        <v>0.467840601037604</v>
      </c>
    </row>
    <row r="8" spans="1:16" x14ac:dyDescent="0.2">
      <c r="A8" s="2">
        <v>5</v>
      </c>
      <c r="B8" s="3" t="s">
        <v>17</v>
      </c>
      <c r="C8" s="3">
        <v>13</v>
      </c>
      <c r="D8" s="3" t="s">
        <v>17</v>
      </c>
      <c r="E8" s="3">
        <v>2</v>
      </c>
      <c r="F8" s="3" t="s">
        <v>18</v>
      </c>
      <c r="G8" s="3">
        <v>4</v>
      </c>
      <c r="H8" s="4">
        <v>0.41363697794069643</v>
      </c>
      <c r="I8" s="4">
        <v>0.40740733334501378</v>
      </c>
      <c r="J8" s="4">
        <v>0.41223744565733722</v>
      </c>
      <c r="K8" s="4">
        <v>0.40320555696512211</v>
      </c>
      <c r="L8" s="4">
        <v>0.38475484365349122</v>
      </c>
      <c r="M8" s="4">
        <v>0.40722493094168449</v>
      </c>
      <c r="N8" s="4">
        <v>0.41313423617648132</v>
      </c>
      <c r="O8" s="4">
        <v>0.40406013801779039</v>
      </c>
      <c r="P8" s="4">
        <v>0.4057076828372021</v>
      </c>
    </row>
    <row r="9" spans="1:16" x14ac:dyDescent="0.2">
      <c r="A9" s="2">
        <v>6</v>
      </c>
      <c r="B9" s="3" t="s">
        <v>18</v>
      </c>
      <c r="C9" s="3">
        <v>16</v>
      </c>
      <c r="D9" s="3" t="s">
        <v>17</v>
      </c>
      <c r="E9" s="3">
        <v>2</v>
      </c>
      <c r="F9" s="3" t="s">
        <v>18</v>
      </c>
      <c r="G9" s="3">
        <v>4</v>
      </c>
      <c r="H9" s="4">
        <v>0.46974576744094232</v>
      </c>
      <c r="I9" s="4">
        <v>0.48218512711571759</v>
      </c>
      <c r="J9" s="4">
        <v>0.45310499357426121</v>
      </c>
      <c r="K9" s="4">
        <v>0.50943356835182707</v>
      </c>
      <c r="L9" s="4">
        <v>0.49113540101188768</v>
      </c>
      <c r="M9" s="4">
        <v>0.50842102599817651</v>
      </c>
      <c r="N9" s="4">
        <v>0.47064953658209951</v>
      </c>
      <c r="O9" s="4">
        <v>0.47654982832337139</v>
      </c>
      <c r="P9" s="4">
        <v>0.48265315604978543</v>
      </c>
    </row>
    <row r="10" spans="1:16" x14ac:dyDescent="0.2">
      <c r="A10" s="2">
        <v>7</v>
      </c>
      <c r="B10" s="3" t="s">
        <v>17</v>
      </c>
      <c r="C10" s="3">
        <v>13</v>
      </c>
      <c r="D10" s="3" t="s">
        <v>18</v>
      </c>
      <c r="E10" s="3">
        <v>3</v>
      </c>
      <c r="F10" s="3" t="s">
        <v>18</v>
      </c>
      <c r="G10" s="3">
        <v>4</v>
      </c>
      <c r="H10" s="4">
        <v>0.42252121521246139</v>
      </c>
      <c r="I10" s="4">
        <v>0.41438347412076693</v>
      </c>
      <c r="J10" s="4">
        <v>0.39310253721924648</v>
      </c>
      <c r="K10" s="4">
        <v>0.41413638976536499</v>
      </c>
      <c r="L10" s="4">
        <v>0.4045284842762441</v>
      </c>
      <c r="M10" s="4">
        <v>0.39088486191531252</v>
      </c>
      <c r="N10" s="4">
        <v>0.41298007207602738</v>
      </c>
      <c r="O10" s="4">
        <v>0.41583652990531078</v>
      </c>
      <c r="P10" s="4">
        <v>0.40854669556134182</v>
      </c>
    </row>
    <row r="11" spans="1:16" x14ac:dyDescent="0.2">
      <c r="A11" s="2">
        <v>8</v>
      </c>
      <c r="B11" s="3" t="s">
        <v>18</v>
      </c>
      <c r="C11" s="3">
        <v>16</v>
      </c>
      <c r="D11" s="3" t="s">
        <v>18</v>
      </c>
      <c r="E11" s="3">
        <v>3</v>
      </c>
      <c r="F11" s="3" t="s">
        <v>18</v>
      </c>
      <c r="G11" s="3">
        <v>4</v>
      </c>
      <c r="H11" s="4">
        <v>0.45152232606600451</v>
      </c>
      <c r="I11" s="4">
        <v>0.46953512235417749</v>
      </c>
      <c r="J11" s="4">
        <v>0.44176905597327409</v>
      </c>
      <c r="K11" s="4">
        <v>0.48565116149592641</v>
      </c>
      <c r="L11" s="4">
        <v>0.48044741285695608</v>
      </c>
      <c r="M11" s="4">
        <v>0.49122008737077522</v>
      </c>
      <c r="N11" s="4">
        <v>0.45496152991978323</v>
      </c>
      <c r="O11" s="4">
        <v>0.46735254339246929</v>
      </c>
      <c r="P11" s="4">
        <v>0.46780740492867079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tabSelected="1" workbookViewId="0">
      <pane ySplit="3" topLeftCell="A4" activePane="bottomLeft" state="frozen"/>
      <selection pane="bottomLeft" activeCell="J19" sqref="J19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19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</row>
    <row r="4" spans="1:8" x14ac:dyDescent="0.2">
      <c r="A4" s="3">
        <v>1</v>
      </c>
      <c r="B4" s="4">
        <v>4.1994407746699623E-2</v>
      </c>
      <c r="C4" s="4">
        <v>-4.6673145218422973E-3</v>
      </c>
      <c r="D4" s="4">
        <v>-6.0753999898138789E-4</v>
      </c>
      <c r="E4" s="4">
        <v>-1.337001074321713E-2</v>
      </c>
      <c r="F4" s="4">
        <v>5.6054243019486305E-4</v>
      </c>
      <c r="G4" s="4">
        <v>-2.2875297441549151E-6</v>
      </c>
      <c r="H4" s="4">
        <v>-1.838285801342848E-4</v>
      </c>
    </row>
    <row r="5" spans="1:8" x14ac:dyDescent="0.2">
      <c r="A5" s="3">
        <v>2</v>
      </c>
      <c r="B5" s="4">
        <v>6.4833921109200693E-2</v>
      </c>
      <c r="C5" s="4">
        <v>-2.7147649946574481E-3</v>
      </c>
      <c r="D5" s="4">
        <v>1.6259491519601821E-4</v>
      </c>
      <c r="E5" s="4">
        <v>-9.9350113128227058E-3</v>
      </c>
      <c r="F5" s="4">
        <v>1.307998928564702E-4</v>
      </c>
      <c r="G5" s="4">
        <v>-1.2216699823605631E-4</v>
      </c>
      <c r="H5" s="4">
        <v>1.219385441761089E-4</v>
      </c>
    </row>
    <row r="6" spans="1:8" x14ac:dyDescent="0.2">
      <c r="A6" s="3">
        <v>3</v>
      </c>
      <c r="B6" s="4">
        <v>4.4419493506423248E-2</v>
      </c>
      <c r="C6" s="4">
        <v>-1.5523613774083549E-2</v>
      </c>
      <c r="D6" s="4">
        <v>-2.5600304573408778E-4</v>
      </c>
      <c r="E6" s="4">
        <v>4.2561103657363236E-3</v>
      </c>
      <c r="F6" s="4">
        <v>3.4753982905252889E-4</v>
      </c>
      <c r="G6" s="4">
        <v>2.8819075454469822E-4</v>
      </c>
      <c r="H6" s="4">
        <v>-3.5662494718448351E-4</v>
      </c>
    </row>
    <row r="7" spans="1:8" x14ac:dyDescent="0.2">
      <c r="A7" s="3">
        <v>4</v>
      </c>
      <c r="B7" s="4">
        <v>8.8624040549113256E-2</v>
      </c>
      <c r="C7" s="4">
        <v>-6.3854045730688119E-3</v>
      </c>
      <c r="D7" s="4">
        <v>1.796404459457335E-4</v>
      </c>
      <c r="E7" s="4">
        <v>-1.7104182230826059E-2</v>
      </c>
      <c r="F7" s="4">
        <v>2.4735100951994721E-4</v>
      </c>
      <c r="G7" s="4">
        <v>-4.0382454760068409E-5</v>
      </c>
      <c r="H7" s="4">
        <v>-2.5243759724573323E-4</v>
      </c>
    </row>
    <row r="8" spans="1:8" x14ac:dyDescent="0.2">
      <c r="A8" s="3">
        <v>5</v>
      </c>
      <c r="B8" s="4">
        <v>9.1203422207123117E-2</v>
      </c>
      <c r="C8" s="4">
        <v>4.6196315917154118E-3</v>
      </c>
      <c r="D8" s="4">
        <v>-2.2437609153069799E-4</v>
      </c>
      <c r="E8" s="4">
        <v>-1.5489161514669E-2</v>
      </c>
      <c r="F8" s="4">
        <v>-5.3679237568812772E-5</v>
      </c>
      <c r="G8" s="4">
        <v>-7.6805357804743402E-5</v>
      </c>
      <c r="H8" s="4">
        <v>2.5834712582672997E-4</v>
      </c>
    </row>
    <row r="9" spans="1:8" x14ac:dyDescent="0.2">
      <c r="A9" s="3">
        <v>6</v>
      </c>
      <c r="B9" s="4">
        <v>0.10063151510625409</v>
      </c>
      <c r="C9" s="4">
        <v>-1.7081954506782359E-2</v>
      </c>
      <c r="D9" s="4">
        <v>3.796002355230671E-4</v>
      </c>
      <c r="E9" s="4">
        <v>-2.7028701011957978E-4</v>
      </c>
      <c r="F9" s="4">
        <v>1.341451497232499E-4</v>
      </c>
      <c r="G9" s="4">
        <v>3.1145067989567232E-4</v>
      </c>
      <c r="H9" s="4">
        <v>-1.6014779039505431E-4</v>
      </c>
    </row>
    <row r="10" spans="1:8" x14ac:dyDescent="0.2">
      <c r="A10" s="3">
        <v>7</v>
      </c>
      <c r="B10" s="4">
        <v>4.98850706693926E-2</v>
      </c>
      <c r="C10" s="4">
        <v>-7.901015736284378E-3</v>
      </c>
      <c r="D10" s="4">
        <v>-3.4888103363073242E-4</v>
      </c>
      <c r="E10" s="4">
        <v>-7.7412986682537377E-3</v>
      </c>
      <c r="F10" s="4">
        <v>-1.3669154470567771E-4</v>
      </c>
      <c r="G10" s="4">
        <v>-2.006964510070652E-5</v>
      </c>
      <c r="H10" s="4">
        <v>-2.5622612677467241E-5</v>
      </c>
    </row>
    <row r="11" spans="1:8" x14ac:dyDescent="0.2">
      <c r="A11" s="3">
        <v>8</v>
      </c>
      <c r="B11" s="4">
        <v>6.1867251877688413E-2</v>
      </c>
      <c r="C11" s="4">
        <v>1.022595226523038E-3</v>
      </c>
      <c r="D11" s="4">
        <v>-5.4119951737177652E-4</v>
      </c>
      <c r="E11" s="4">
        <v>-1.0105314237629099E-2</v>
      </c>
      <c r="F11" s="4">
        <v>1.3560001868134769E-4</v>
      </c>
      <c r="G11" s="4">
        <v>2.6695825178602028E-4</v>
      </c>
      <c r="H11" s="4">
        <v>-3.8152417158215929E-4</v>
      </c>
    </row>
    <row r="14" spans="1:8" x14ac:dyDescent="0.2">
      <c r="A14" s="10" t="s">
        <v>28</v>
      </c>
      <c r="B14" s="9"/>
      <c r="C14" s="9"/>
      <c r="D14" s="9"/>
      <c r="E14" s="9"/>
      <c r="F14" s="9"/>
      <c r="G14" s="9"/>
    </row>
    <row r="15" spans="1:8" x14ac:dyDescent="0.2">
      <c r="A15" s="1" t="s">
        <v>29</v>
      </c>
      <c r="B15" s="1" t="s">
        <v>30</v>
      </c>
      <c r="C15" s="1" t="s">
        <v>31</v>
      </c>
      <c r="D15" s="13" t="s">
        <v>65</v>
      </c>
      <c r="E15" s="1" t="s">
        <v>32</v>
      </c>
      <c r="F15" s="1" t="s">
        <v>33</v>
      </c>
      <c r="G15" s="1" t="s">
        <v>34</v>
      </c>
      <c r="H15" s="1" t="s">
        <v>35</v>
      </c>
    </row>
    <row r="16" spans="1:8" ht="28" x14ac:dyDescent="0.2">
      <c r="A16" s="5" t="s">
        <v>21</v>
      </c>
      <c r="B16" s="4">
        <v>6.7932390346486876E-2</v>
      </c>
      <c r="C16" s="4">
        <v>2.2792998595957049E-2</v>
      </c>
      <c r="D16" s="4">
        <f>_xlfn.T.INV.2T(0.1/7,7)</f>
        <v>3.2383460877280466</v>
      </c>
      <c r="E16" s="4">
        <f>C16*D16/SQRT(4)</f>
        <v>3.6905808915404181E-2</v>
      </c>
      <c r="F16" s="4">
        <f>B16-E16</f>
        <v>3.1026581431082695E-2</v>
      </c>
      <c r="G16" s="14">
        <f>B16+E16</f>
        <v>0.10483819926189106</v>
      </c>
      <c r="H16" s="15" t="s">
        <v>36</v>
      </c>
    </row>
    <row r="17" spans="1:8" ht="16" x14ac:dyDescent="0.2">
      <c r="A17" s="5" t="s">
        <v>22</v>
      </c>
      <c r="B17" s="4">
        <v>-6.0789801610600502E-3</v>
      </c>
      <c r="C17" s="4">
        <v>7.4822042978130764E-3</v>
      </c>
      <c r="D17" s="4">
        <f t="shared" ref="D17:D22" si="0">_xlfn.T.INV.2T(0.1/7,7)</f>
        <v>3.2383460877280466</v>
      </c>
      <c r="E17" s="4">
        <f t="shared" ref="E17:E22" si="1">C17*D17/SQRT(4)</f>
        <v>1.2114983507702477E-2</v>
      </c>
      <c r="F17" s="4">
        <f t="shared" ref="F17:F21" si="2">B17-E17</f>
        <v>-1.8193963668762525E-2</v>
      </c>
      <c r="G17" s="14">
        <f t="shared" ref="G17:G22" si="3">B17+E17</f>
        <v>6.0360033466424264E-3</v>
      </c>
      <c r="H17" s="16" t="s">
        <v>37</v>
      </c>
    </row>
    <row r="18" spans="1:8" ht="16" x14ac:dyDescent="0.2">
      <c r="A18" s="5" t="s">
        <v>23</v>
      </c>
      <c r="B18" s="4">
        <v>-1.5702051132298299E-4</v>
      </c>
      <c r="C18" s="4">
        <v>3.5959551497600763E-4</v>
      </c>
      <c r="D18" s="4">
        <f t="shared" si="0"/>
        <v>3.2383460877280466</v>
      </c>
      <c r="E18" s="4">
        <f t="shared" si="1"/>
        <v>5.8224736454355326E-4</v>
      </c>
      <c r="F18" s="4">
        <f t="shared" si="2"/>
        <v>-7.3926787586653625E-4</v>
      </c>
      <c r="G18" s="14">
        <f t="shared" si="3"/>
        <v>4.2522685322057027E-4</v>
      </c>
      <c r="H18" s="16" t="s">
        <v>37</v>
      </c>
    </row>
    <row r="19" spans="1:8" ht="28" x14ac:dyDescent="0.2">
      <c r="A19" s="5" t="s">
        <v>38</v>
      </c>
      <c r="B19" s="4">
        <v>-8.7198944189751243E-3</v>
      </c>
      <c r="C19" s="4">
        <v>7.3859804772611684E-3</v>
      </c>
      <c r="D19" s="4">
        <f t="shared" si="0"/>
        <v>3.2383460877280466</v>
      </c>
      <c r="E19" s="4">
        <f t="shared" si="1"/>
        <v>1.1959180491287217E-2</v>
      </c>
      <c r="F19" s="4">
        <f t="shared" si="2"/>
        <v>-2.0679074910262343E-2</v>
      </c>
      <c r="G19" s="14">
        <f t="shared" si="3"/>
        <v>3.239286072312093E-3</v>
      </c>
      <c r="H19" s="16" t="s">
        <v>37</v>
      </c>
    </row>
    <row r="20" spans="1:8" ht="28" x14ac:dyDescent="0.2">
      <c r="A20" s="5" t="s">
        <v>39</v>
      </c>
      <c r="B20" s="4">
        <v>1.7070094346923961E-4</v>
      </c>
      <c r="C20" s="4">
        <v>2.1977934099545171E-4</v>
      </c>
      <c r="D20" s="4">
        <f t="shared" si="0"/>
        <v>3.2383460877280466</v>
      </c>
      <c r="E20" s="4">
        <f>C20*D20/SQRT(4)</f>
        <v>3.5586078453803463E-4</v>
      </c>
      <c r="F20" s="4">
        <f t="shared" si="2"/>
        <v>-1.8515984106879502E-4</v>
      </c>
      <c r="G20" s="17">
        <f>B20+E20</f>
        <v>5.265617280072743E-4</v>
      </c>
      <c r="H20" s="16" t="s">
        <v>37</v>
      </c>
    </row>
    <row r="21" spans="1:8" ht="28" x14ac:dyDescent="0.2">
      <c r="A21" s="5" t="s">
        <v>40</v>
      </c>
      <c r="B21" s="4">
        <v>7.5610962572582666E-5</v>
      </c>
      <c r="C21" s="4">
        <v>1.8065302514754561E-4</v>
      </c>
      <c r="D21" s="4">
        <f t="shared" si="0"/>
        <v>3.2383460877280466</v>
      </c>
      <c r="E21" s="4">
        <f t="shared" si="1"/>
        <v>2.9250850861139538E-4</v>
      </c>
      <c r="F21" s="4">
        <f t="shared" si="2"/>
        <v>-2.1689754603881271E-4</v>
      </c>
      <c r="G21" s="14">
        <f t="shared" si="3"/>
        <v>3.6811947118397804E-4</v>
      </c>
      <c r="H21" s="16" t="s">
        <v>37</v>
      </c>
    </row>
    <row r="22" spans="1:8" ht="28" x14ac:dyDescent="0.2">
      <c r="A22" s="5" t="s">
        <v>41</v>
      </c>
      <c r="B22" s="4">
        <v>-1.224875036520429E-4</v>
      </c>
      <c r="C22" s="4">
        <v>2.2619533418626731E-4</v>
      </c>
      <c r="D22" s="4">
        <f t="shared" si="0"/>
        <v>3.2383460877280466</v>
      </c>
      <c r="E22" s="4">
        <f t="shared" si="1"/>
        <v>3.6624938776221841E-4</v>
      </c>
      <c r="F22" s="4">
        <f>B22-E22</f>
        <v>-4.8873689141426134E-4</v>
      </c>
      <c r="G22" s="14">
        <f t="shared" si="3"/>
        <v>2.437618841101755E-4</v>
      </c>
      <c r="H22" s="16" t="s">
        <v>37</v>
      </c>
    </row>
  </sheetData>
  <mergeCells count="2">
    <mergeCell ref="A14:G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42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43</v>
      </c>
    </row>
    <row r="4" spans="1:17" x14ac:dyDescent="0.2">
      <c r="A4" s="1" t="s">
        <v>44</v>
      </c>
      <c r="B4" s="1" t="s">
        <v>45</v>
      </c>
      <c r="C4" s="1" t="s">
        <v>46</v>
      </c>
      <c r="E4" s="1" t="s">
        <v>44</v>
      </c>
      <c r="F4" s="1" t="s">
        <v>45</v>
      </c>
      <c r="G4" s="1" t="s">
        <v>47</v>
      </c>
      <c r="I4" s="1" t="s">
        <v>44</v>
      </c>
      <c r="J4" s="1" t="s">
        <v>45</v>
      </c>
      <c r="K4" s="1" t="s">
        <v>48</v>
      </c>
    </row>
    <row r="5" spans="1:17" x14ac:dyDescent="0.2">
      <c r="A5" s="3" t="s">
        <v>17</v>
      </c>
      <c r="B5" s="4">
        <v>0.40729104992666809</v>
      </c>
      <c r="C5" s="6">
        <v>13</v>
      </c>
      <c r="E5" s="3" t="s">
        <v>17</v>
      </c>
      <c r="F5" s="4">
        <v>0.44429673518044149</v>
      </c>
      <c r="G5" s="6">
        <v>2</v>
      </c>
      <c r="I5" s="3" t="s">
        <v>17</v>
      </c>
      <c r="J5" s="4">
        <v>0.44133575535557301</v>
      </c>
      <c r="K5" s="6">
        <v>2</v>
      </c>
    </row>
    <row r="6" spans="1:17" x14ac:dyDescent="0.2">
      <c r="A6" s="3" t="s">
        <v>18</v>
      </c>
      <c r="B6" s="4">
        <v>0.475223440273155</v>
      </c>
      <c r="C6" s="6">
        <v>16</v>
      </c>
      <c r="E6" s="3" t="s">
        <v>18</v>
      </c>
      <c r="F6" s="4">
        <v>0.43821775501938148</v>
      </c>
      <c r="G6" s="6">
        <v>3</v>
      </c>
      <c r="I6" s="3" t="s">
        <v>18</v>
      </c>
      <c r="J6" s="4">
        <v>0.44117873484425002</v>
      </c>
      <c r="K6" s="6">
        <v>4</v>
      </c>
    </row>
    <row r="25" spans="1:8" ht="28" x14ac:dyDescent="0.2">
      <c r="A25" s="1" t="s">
        <v>49</v>
      </c>
    </row>
    <row r="27" spans="1:8" x14ac:dyDescent="0.2">
      <c r="A27" s="10" t="s">
        <v>50</v>
      </c>
      <c r="B27" s="11"/>
      <c r="C27" s="12"/>
      <c r="E27" s="10" t="s">
        <v>51</v>
      </c>
      <c r="F27" s="11"/>
      <c r="G27" s="12"/>
    </row>
    <row r="28" spans="1:8" x14ac:dyDescent="0.2">
      <c r="A28" s="1" t="s">
        <v>46</v>
      </c>
      <c r="B28" s="1" t="s">
        <v>52</v>
      </c>
      <c r="C28" s="1" t="s">
        <v>53</v>
      </c>
      <c r="D28" s="1" t="s">
        <v>54</v>
      </c>
      <c r="E28" s="1" t="s">
        <v>46</v>
      </c>
      <c r="F28" s="1" t="s">
        <v>52</v>
      </c>
      <c r="G28" s="1" t="s">
        <v>53</v>
      </c>
      <c r="H28" s="1" t="s">
        <v>54</v>
      </c>
    </row>
    <row r="29" spans="1:8" x14ac:dyDescent="0.2">
      <c r="A29" s="3">
        <v>13</v>
      </c>
      <c r="B29" s="4">
        <v>0.40623350275821901</v>
      </c>
      <c r="C29" s="4">
        <v>0.40867631854990938</v>
      </c>
      <c r="E29" s="3">
        <v>13</v>
      </c>
      <c r="F29" s="4">
        <v>0.4057076828372021</v>
      </c>
      <c r="G29" s="4">
        <v>0.40854669556134182</v>
      </c>
    </row>
    <row r="30" spans="1:8" x14ac:dyDescent="0.2">
      <c r="A30" s="3">
        <v>16</v>
      </c>
      <c r="B30" s="4">
        <v>0.48259259907655971</v>
      </c>
      <c r="C30" s="4">
        <v>0.467840601037604</v>
      </c>
      <c r="E30" s="3">
        <v>16</v>
      </c>
      <c r="F30" s="4">
        <v>0.48265315604978543</v>
      </c>
      <c r="G30" s="4">
        <v>0.46780740492867079</v>
      </c>
    </row>
    <row r="52" spans="1:8" x14ac:dyDescent="0.2">
      <c r="A52" s="10" t="s">
        <v>55</v>
      </c>
      <c r="B52" s="11"/>
      <c r="C52" s="12"/>
      <c r="E52" s="10" t="s">
        <v>56</v>
      </c>
      <c r="F52" s="11"/>
      <c r="G52" s="12"/>
    </row>
    <row r="53" spans="1:8" x14ac:dyDescent="0.2">
      <c r="A53" s="1" t="s">
        <v>46</v>
      </c>
      <c r="B53" s="1" t="s">
        <v>57</v>
      </c>
      <c r="C53" s="1" t="s">
        <v>58</v>
      </c>
      <c r="D53" s="1" t="s">
        <v>59</v>
      </c>
      <c r="E53" s="1" t="s">
        <v>46</v>
      </c>
      <c r="F53" s="1" t="s">
        <v>57</v>
      </c>
      <c r="G53" s="1" t="s">
        <v>58</v>
      </c>
      <c r="H53" s="1" t="s">
        <v>59</v>
      </c>
    </row>
    <row r="54" spans="1:8" x14ac:dyDescent="0.2">
      <c r="A54" s="3">
        <v>13</v>
      </c>
      <c r="B54" s="4">
        <v>0.40623350275821901</v>
      </c>
      <c r="C54" s="4">
        <v>0.4057076828372021</v>
      </c>
      <c r="E54" s="3">
        <v>13</v>
      </c>
      <c r="F54" s="4">
        <v>0.40867631854990938</v>
      </c>
      <c r="G54" s="4">
        <v>0.40854669556134182</v>
      </c>
    </row>
    <row r="55" spans="1:8" x14ac:dyDescent="0.2">
      <c r="A55" s="3">
        <v>16</v>
      </c>
      <c r="B55" s="4">
        <v>0.48259259907655971</v>
      </c>
      <c r="C55" s="4">
        <v>0.48265315604978543</v>
      </c>
      <c r="E55" s="3">
        <v>16</v>
      </c>
      <c r="F55" s="4">
        <v>0.467840601037604</v>
      </c>
      <c r="G55" s="4">
        <v>0.46780740492867079</v>
      </c>
    </row>
    <row r="77" spans="1:8" x14ac:dyDescent="0.2">
      <c r="A77" s="10" t="s">
        <v>60</v>
      </c>
      <c r="B77" s="11"/>
      <c r="C77" s="12"/>
      <c r="E77" s="10" t="s">
        <v>61</v>
      </c>
      <c r="F77" s="11"/>
      <c r="G77" s="12"/>
    </row>
    <row r="78" spans="1:8" ht="28" x14ac:dyDescent="0.2">
      <c r="A78" s="1" t="s">
        <v>47</v>
      </c>
      <c r="B78" s="1" t="s">
        <v>57</v>
      </c>
      <c r="C78" s="1" t="s">
        <v>58</v>
      </c>
      <c r="D78" s="1" t="s">
        <v>62</v>
      </c>
      <c r="E78" s="1" t="s">
        <v>47</v>
      </c>
      <c r="F78" s="1" t="s">
        <v>57</v>
      </c>
      <c r="G78" s="1" t="s">
        <v>58</v>
      </c>
      <c r="H78" s="1" t="s">
        <v>62</v>
      </c>
    </row>
    <row r="79" spans="1:8" x14ac:dyDescent="0.2">
      <c r="A79" s="3">
        <v>2</v>
      </c>
      <c r="B79" s="4">
        <v>0.40623350275821901</v>
      </c>
      <c r="C79" s="4">
        <v>0.4057076828372021</v>
      </c>
      <c r="E79" s="3">
        <v>2</v>
      </c>
      <c r="F79" s="4">
        <v>0.48259259907655971</v>
      </c>
      <c r="G79" s="4">
        <v>0.48265315604978543</v>
      </c>
    </row>
    <row r="80" spans="1:8" x14ac:dyDescent="0.2">
      <c r="A80" s="3">
        <v>3</v>
      </c>
      <c r="B80" s="4">
        <v>0.40867631854990938</v>
      </c>
      <c r="C80" s="4">
        <v>0.40854669556134182</v>
      </c>
      <c r="E80" s="3">
        <v>3</v>
      </c>
      <c r="F80" s="4">
        <v>0.467840601037604</v>
      </c>
      <c r="G80" s="4">
        <v>0.46780740492867079</v>
      </c>
    </row>
    <row r="110" spans="1:1" ht="28" x14ac:dyDescent="0.2">
      <c r="A110" s="1" t="s">
        <v>63</v>
      </c>
    </row>
    <row r="111" spans="1:1" ht="208" x14ac:dyDescent="0.2">
      <c r="A111" s="7" t="s">
        <v>64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2026-05-06T17:41:45Z</dcterms:created>
  <dcterms:modified xsi:type="dcterms:W3CDTF">2026-05-06T17:45:09Z</dcterms:modified>
</cp:coreProperties>
</file>