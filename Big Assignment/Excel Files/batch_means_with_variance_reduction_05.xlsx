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AD1C0FE0-665A-7A48-B437-0750B0E627D2}" xr6:coauthVersionLast="47" xr6:coauthVersionMax="47" xr10:uidLastSave="{00000000-0000-0000-0000-000000000000}"/>
  <bookViews>
    <workbookView xWindow="0" yWindow="720" windowWidth="14580" windowHeight="18400" xr2:uid="{00000000-000D-0000-FFFF-FFFF00000000}"/>
  </bookViews>
  <sheets>
    <sheet name="S1-14-R1" sheetId="1" r:id="rId1"/>
    <sheet name="S3-16-R3" sheetId="2" r:id="rId2"/>
    <sheet name="S1-16-R2" sheetId="3" r:id="rId3"/>
    <sheet name="S2-14-R4" sheetId="4" r:id="rId4"/>
    <sheet name="S3-12-R1" sheetId="5" r:id="rId5"/>
    <sheet name="S1-10-R2" sheetId="6" r:id="rId6"/>
    <sheet name="S3-14-R2" sheetId="7" r:id="rId7"/>
    <sheet name="S2-10-R3" sheetId="8" r:id="rId8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1" l="1"/>
  <c r="J19" i="1"/>
</calcChain>
</file>

<file path=xl/sharedStrings.xml><?xml version="1.0" encoding="utf-8"?>
<sst xmlns="http://schemas.openxmlformats.org/spreadsheetml/2006/main" count="434" uniqueCount="76">
  <si>
    <t>Batch Mean Method + Variance Reduction  |  Strategy 1  |  Urgent slots 14  |  Rule 1</t>
  </si>
  <si>
    <t>PARAMETERS &amp; METHODE</t>
  </si>
  <si>
    <t>Warmup weken</t>
  </si>
  <si>
    <t>weken</t>
  </si>
  <si>
    <t>Autocorrelatie-lag L_ac</t>
  </si>
  <si>
    <t>Batchgrootte M (= 5·L_ac)</t>
  </si>
  <si>
    <t>weken per batch</t>
  </si>
  <si>
    <t>Aantal batches L</t>
  </si>
  <si>
    <t>batches</t>
  </si>
  <si>
    <t>Run length na warmup</t>
  </si>
  <si>
    <t>weken (= M × L)</t>
  </si>
  <si>
    <t>Totale simulatielengte</t>
  </si>
  <si>
    <t>weken (= warmup + run)</t>
  </si>
  <si>
    <t>E[Y_E] per batch = v_E</t>
  </si>
  <si>
    <t>elective scans per batch</t>
  </si>
  <si>
    <t>E[Y_U] per batch = v_U</t>
  </si>
  <si>
    <t>urgent scans per batch</t>
  </si>
  <si>
    <t>c_E raw / c_U raw</t>
  </si>
  <si>
    <t>0.00010635 / 0.00001806</t>
  </si>
  <si>
    <t>control-only coefficients</t>
  </si>
  <si>
    <t>c_E av / c_U av</t>
  </si>
  <si>
    <t>0.00013216 / 0.00003830</t>
  </si>
  <si>
    <t>combined coefficients</t>
  </si>
  <si>
    <t>SUMMARY STATISTIEKEN</t>
  </si>
  <si>
    <t>Method</t>
  </si>
  <si>
    <t>Mean</t>
  </si>
  <si>
    <t>Variance S²</t>
  </si>
  <si>
    <t>Std S</t>
  </si>
  <si>
    <t>95% CI half-width</t>
  </si>
  <si>
    <t>CI lower</t>
  </si>
  <si>
    <t>CI upper</t>
  </si>
  <si>
    <t>Var. reduction</t>
  </si>
  <si>
    <t>Raw batch means</t>
  </si>
  <si>
    <t>baseline</t>
  </si>
  <si>
    <t>Antithetic</t>
  </si>
  <si>
    <t>Control only</t>
  </si>
  <si>
    <t>Combined anti + ctrl</t>
  </si>
  <si>
    <t>PER-BATCH DETAIL</t>
  </si>
  <si>
    <t>Batch: X_l = average weekly OV in batch.  Antithetic: X_av,l = (X_normal,l + X_anti,l)/2.  Control: X_cv,l = X_normal,l − c_E(YE_l−v_E) − c_U(YU_l−v_U).  Combined: X_comb,l = X_av,l − c_E,av(YE_av,l−v_E) − c_U,av(YU_av,l−v_U).</t>
  </si>
  <si>
    <t>Batch l</t>
  </si>
  <si>
    <t>Week start</t>
  </si>
  <si>
    <t>Week einde</t>
  </si>
  <si>
    <t>X_normal</t>
  </si>
  <si>
    <t>X_anti</t>
  </si>
  <si>
    <t>X_av
anti</t>
  </si>
  <si>
    <t>YE_av</t>
  </si>
  <si>
    <t>YU_av</t>
  </si>
  <si>
    <t>X_cv
control only</t>
  </si>
  <si>
    <t>X_comb
anti+ctrl</t>
  </si>
  <si>
    <t>El.AppWT
avg</t>
  </si>
  <si>
    <t>Ur.ScanWT
avg</t>
  </si>
  <si>
    <t>OT
avg</t>
  </si>
  <si>
    <t>AVG</t>
  </si>
  <si>
    <t>Batch Mean Method + Variance Reduction  |  Strategy 3  |  Urgent slots 16  |  Rule 3</t>
  </si>
  <si>
    <t>0.00008432 / -0.00000761</t>
  </si>
  <si>
    <t>0.00010464 / -0.00004078</t>
  </si>
  <si>
    <t>Batch Mean Method + Variance Reduction  |  Strategy 1  |  Urgent slots 16  |  Rule 2</t>
  </si>
  <si>
    <t>0.00008735 / -0.00000659</t>
  </si>
  <si>
    <t>0.00010505 / -0.00004601</t>
  </si>
  <si>
    <t>Batch Mean Method + Variance Reduction  |  Strategy 2  |  Urgent slots 14  |  Rule 4</t>
  </si>
  <si>
    <t>0.00009649 / 0.00020852</t>
  </si>
  <si>
    <t>0.00011456 / 0.00023287</t>
  </si>
  <si>
    <t>Batch Mean Method + Variance Reduction  |  Strategy 3  |  Urgent slots 12  |  Rule 1</t>
  </si>
  <si>
    <t>0.00020538 / 0.00096885</t>
  </si>
  <si>
    <t>0.00032366 / 0.00055053</t>
  </si>
  <si>
    <t>Batch Mean Method + Variance Reduction  |  Strategy 1  |  Urgent slots 10  |  Rule 2</t>
  </si>
  <si>
    <t>0.00017710 / 0.00058420</t>
  </si>
  <si>
    <t>0.00027793 / 0.00064750</t>
  </si>
  <si>
    <t>Batch Mean Method + Variance Reduction  |  Strategy 3  |  Urgent slots 14  |  Rule 2</t>
  </si>
  <si>
    <t>0.00010949 / 0.00021764</t>
  </si>
  <si>
    <t>0.00011476 / 0.00026968</t>
  </si>
  <si>
    <t>Batch Mean Method + Variance Reduction  |  Strategy 2  |  Urgent slots 10  |  Rule 3</t>
  </si>
  <si>
    <t>0.00020258 / 0.00036883</t>
  </si>
  <si>
    <t>0.00040037 / 0.00076483</t>
  </si>
  <si>
    <t>average variance</t>
  </si>
  <si>
    <t>Average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</si>
</sst>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5" formatCode="#,##0.0000000"/>
    <numFmt numFmtId="166" formatCode="#,##0.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4B942"/>
      </patternFill>
    </fill>
    <fill>
      <patternFill patternType="solid">
        <fgColor rgb="FFE2EFDA"/>
      </patternFill>
    </fill>
    <fill>
      <patternFill patternType="solid">
        <fgColor rgb="FFD7BDE2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4" fillId="3" borderId="1" xfId="0" applyNumberFormat="1" applyFont="1" applyFill="1" applyBorder="1" applyAlignment="1">
      <alignment horizontal="right" vertical="center"/>
    </xf>
    <xf numFmtId="10" fontId="4" fillId="3" borderId="1" xfId="0" applyNumberFormat="1" applyFont="1" applyFill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0" fontId="4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164" fontId="3" fillId="3" borderId="1" xfId="0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64" fontId="4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0" fillId="0" borderId="1" xfId="0" applyNumberFormat="1" applyBorder="1"/>
    <xf numFmtId="3" fontId="0" fillId="0" borderId="1" xfId="0" applyNumberFormat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topLeftCell="D1" workbookViewId="0">
      <pane ySplit="23" topLeftCell="A24" activePane="bottomLeft" state="frozen"/>
      <selection pane="bottomLeft" activeCell="H11" sqref="H11:M11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34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170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2040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2090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24093.25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2125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18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21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0.44058034508507959</v>
      </c>
      <c r="C16" s="6">
        <v>3.5927959238930222E-4</v>
      </c>
      <c r="D16" s="3">
        <v>1.895467204647187E-2</v>
      </c>
      <c r="E16" s="7">
        <v>1.0724615308262979E-2</v>
      </c>
      <c r="F16" s="8">
        <v>0.42985572977681669</v>
      </c>
      <c r="G16" s="8">
        <v>0.45130496039334261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0.45032560827600432</v>
      </c>
      <c r="C17" s="6">
        <v>1.6260269021603729E-4</v>
      </c>
      <c r="D17" s="3">
        <v>1.275157598950174E-2</v>
      </c>
      <c r="E17" s="7">
        <v>7.2148833135281818E-3</v>
      </c>
      <c r="F17" s="8">
        <v>0.44311072496247611</v>
      </c>
      <c r="G17" s="8">
        <v>0.45754049158953253</v>
      </c>
      <c r="H17" s="11">
        <v>0.5474201884535459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0.45663876268231651</v>
      </c>
      <c r="C18" s="6">
        <v>1.4079353542411881E-4</v>
      </c>
      <c r="D18" s="3">
        <v>1.1865645175215661E-2</v>
      </c>
      <c r="E18" s="7">
        <v>6.7136207672989614E-3</v>
      </c>
      <c r="F18" s="8">
        <v>0.44992514191501748</v>
      </c>
      <c r="G18" s="8">
        <v>0.46335238344961549</v>
      </c>
      <c r="H18" s="12">
        <v>0.60812264763549373</v>
      </c>
      <c r="I18" t="s">
        <v>75</v>
      </c>
      <c r="J18" s="39">
        <f>AVERAGE(E8,'S3-16-R3'!E8:G8,'S1-16-R2'!E8:G8,'S2-14-R4'!E8:G8,'S3-12-R1'!E8:G8,'S1-10-R2'!E8:G8,'S3-14-R2'!E8:G8,'S2-10-R3'!E8:G8)</f>
        <v>3267.5</v>
      </c>
      <c r="K18" s="9"/>
      <c r="L18" s="9"/>
      <c r="M18" s="9"/>
    </row>
    <row r="19" spans="1:13" ht="18" customHeight="1" x14ac:dyDescent="0.2">
      <c r="A19" s="1" t="s">
        <v>36</v>
      </c>
      <c r="B19" s="13">
        <v>0.46216466371771681</v>
      </c>
      <c r="C19" s="6">
        <v>1.063718934991489E-4</v>
      </c>
      <c r="D19" s="3">
        <v>1.0313675072405029E-2</v>
      </c>
      <c r="E19" s="7">
        <v>5.8355110177996288E-3</v>
      </c>
      <c r="F19" s="8">
        <v>0.45632915269991708</v>
      </c>
      <c r="G19" s="8">
        <v>0.46800017473551642</v>
      </c>
      <c r="H19" s="14">
        <v>0.70393004291797301</v>
      </c>
      <c r="I19" s="37" t="s">
        <v>74</v>
      </c>
      <c r="J19" s="38">
        <f>AVERAGE(C19,'S3-16-R3'!C19,'S1-16-R2'!C19,'S2-14-R4'!C19,'S3-12-R1'!C19,'S1-10-R2'!C19,'S3-14-R2'!C19,'S2-10-R3'!C19,)</f>
        <v>2.5782588346709738E-4</v>
      </c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220</v>
      </c>
      <c r="D24" s="18">
        <v>0.43213699219089141</v>
      </c>
      <c r="E24" s="18">
        <v>0.53211574096333347</v>
      </c>
      <c r="F24" s="10">
        <v>0.48212636657711239</v>
      </c>
      <c r="G24" s="19">
        <v>24100</v>
      </c>
      <c r="H24" s="19">
        <v>2114.5</v>
      </c>
      <c r="I24" s="7">
        <v>0.45400928971536952</v>
      </c>
      <c r="J24" s="13">
        <v>0.48163641195684392</v>
      </c>
      <c r="K24" s="18">
        <v>27.841274865607179</v>
      </c>
      <c r="L24" s="18">
        <v>2.8476404313936272</v>
      </c>
      <c r="M24" s="18">
        <v>0.81166742998843944</v>
      </c>
    </row>
    <row r="25" spans="1:13" ht="18" customHeight="1" x14ac:dyDescent="0.2">
      <c r="A25" s="20">
        <v>2</v>
      </c>
      <c r="B25" s="2">
        <v>221</v>
      </c>
      <c r="C25" s="2">
        <v>390</v>
      </c>
      <c r="D25" s="3">
        <v>0.39582670684146248</v>
      </c>
      <c r="E25" s="3">
        <v>0.48094329723590962</v>
      </c>
      <c r="F25" s="10">
        <v>0.43838500203868602</v>
      </c>
      <c r="G25" s="21">
        <v>23959</v>
      </c>
      <c r="H25" s="21">
        <v>2100.5</v>
      </c>
      <c r="I25" s="7">
        <v>0.44049386912496769</v>
      </c>
      <c r="J25" s="13">
        <v>0.45706541524224409</v>
      </c>
      <c r="K25" s="3">
        <v>21.04058316629002</v>
      </c>
      <c r="L25" s="3">
        <v>2.8182909201540669</v>
      </c>
      <c r="M25" s="3">
        <v>0.78559685329922524</v>
      </c>
    </row>
    <row r="26" spans="1:13" ht="18" customHeight="1" x14ac:dyDescent="0.2">
      <c r="A26" s="16">
        <v>3</v>
      </c>
      <c r="B26" s="17">
        <v>391</v>
      </c>
      <c r="C26" s="17">
        <v>560</v>
      </c>
      <c r="D26" s="18">
        <v>0.45842010278765749</v>
      </c>
      <c r="E26" s="18">
        <v>0.43866601532606048</v>
      </c>
      <c r="F26" s="10">
        <v>0.44854305905685898</v>
      </c>
      <c r="G26" s="19">
        <v>24052</v>
      </c>
      <c r="H26" s="19">
        <v>2131</v>
      </c>
      <c r="I26" s="7">
        <v>0.44905782841034741</v>
      </c>
      <c r="J26" s="13">
        <v>0.45376478354497468</v>
      </c>
      <c r="K26" s="18">
        <v>22.653711665328569</v>
      </c>
      <c r="L26" s="18">
        <v>2.8232958351548438</v>
      </c>
      <c r="M26" s="18">
        <v>0.76814167636298802</v>
      </c>
    </row>
    <row r="27" spans="1:13" ht="18" customHeight="1" x14ac:dyDescent="0.2">
      <c r="A27" s="20">
        <v>4</v>
      </c>
      <c r="B27" s="2">
        <v>561</v>
      </c>
      <c r="C27" s="2">
        <v>730</v>
      </c>
      <c r="D27" s="3">
        <v>0.42373460844045202</v>
      </c>
      <c r="E27" s="3">
        <v>0.4689659822104234</v>
      </c>
      <c r="F27" s="10">
        <v>0.44635029532543768</v>
      </c>
      <c r="G27" s="21">
        <v>24006</v>
      </c>
      <c r="H27" s="21">
        <v>2151</v>
      </c>
      <c r="I27" s="7">
        <v>0.44082326722752307</v>
      </c>
      <c r="J27" s="13">
        <v>0.45688534731025288</v>
      </c>
      <c r="K27" s="3">
        <v>22.178069442345791</v>
      </c>
      <c r="L27" s="3">
        <v>2.8290417949461291</v>
      </c>
      <c r="M27" s="3">
        <v>0.78305054912876559</v>
      </c>
    </row>
    <row r="28" spans="1:13" ht="18" customHeight="1" x14ac:dyDescent="0.2">
      <c r="A28" s="16">
        <v>5</v>
      </c>
      <c r="B28" s="17">
        <v>731</v>
      </c>
      <c r="C28" s="17">
        <v>900</v>
      </c>
      <c r="D28" s="18">
        <v>0.45090636646415427</v>
      </c>
      <c r="E28" s="18">
        <v>0.4638675847464182</v>
      </c>
      <c r="F28" s="10">
        <v>0.45738697560528629</v>
      </c>
      <c r="G28" s="19">
        <v>23938.5</v>
      </c>
      <c r="H28" s="19">
        <v>2110</v>
      </c>
      <c r="I28" s="7">
        <v>0.47759858281864742</v>
      </c>
      <c r="J28" s="13">
        <v>0.47841280660391911</v>
      </c>
      <c r="K28" s="18">
        <v>23.162687059273711</v>
      </c>
      <c r="L28" s="18">
        <v>2.8756245451293418</v>
      </c>
      <c r="M28" s="18">
        <v>0.80204837855368805</v>
      </c>
    </row>
    <row r="29" spans="1:13" ht="18" customHeight="1" x14ac:dyDescent="0.2">
      <c r="A29" s="20">
        <v>6</v>
      </c>
      <c r="B29" s="2">
        <v>901</v>
      </c>
      <c r="C29" s="2">
        <v>1070</v>
      </c>
      <c r="D29" s="3">
        <v>0.44020839661683148</v>
      </c>
      <c r="E29" s="3">
        <v>0.44560513062546281</v>
      </c>
      <c r="F29" s="10">
        <v>0.44290676362114723</v>
      </c>
      <c r="G29" s="21">
        <v>23964</v>
      </c>
      <c r="H29" s="21">
        <v>2082.5</v>
      </c>
      <c r="I29" s="7">
        <v>0.46554811354322861</v>
      </c>
      <c r="J29" s="13">
        <v>0.46161571887561559</v>
      </c>
      <c r="K29" s="3">
        <v>20.562553601778021</v>
      </c>
      <c r="L29" s="3">
        <v>2.8845955010665021</v>
      </c>
      <c r="M29" s="3">
        <v>0.84100101764606172</v>
      </c>
    </row>
    <row r="30" spans="1:13" ht="18" customHeight="1" x14ac:dyDescent="0.2">
      <c r="A30" s="16">
        <v>7</v>
      </c>
      <c r="B30" s="17">
        <v>1071</v>
      </c>
      <c r="C30" s="17">
        <v>1240</v>
      </c>
      <c r="D30" s="18">
        <v>0.43973567768181437</v>
      </c>
      <c r="E30" s="18">
        <v>0.44347433386548812</v>
      </c>
      <c r="F30" s="10">
        <v>0.44160500577365119</v>
      </c>
      <c r="G30" s="19">
        <v>23931.5</v>
      </c>
      <c r="H30" s="19">
        <v>2147.5</v>
      </c>
      <c r="I30" s="7">
        <v>0.46373104885015398</v>
      </c>
      <c r="J30" s="13">
        <v>0.46211983568472931</v>
      </c>
      <c r="K30" s="18">
        <v>20.1262424626177</v>
      </c>
      <c r="L30" s="18">
        <v>2.8962534914654849</v>
      </c>
      <c r="M30" s="18">
        <v>0.83464209428514557</v>
      </c>
    </row>
    <row r="31" spans="1:13" ht="18" customHeight="1" x14ac:dyDescent="0.2">
      <c r="A31" s="20">
        <v>8</v>
      </c>
      <c r="B31" s="2">
        <v>1241</v>
      </c>
      <c r="C31" s="2">
        <v>1410</v>
      </c>
      <c r="D31" s="3">
        <v>0.46762422748556792</v>
      </c>
      <c r="E31" s="3">
        <v>0.43373954781565599</v>
      </c>
      <c r="F31" s="10">
        <v>0.45068188765061201</v>
      </c>
      <c r="G31" s="21">
        <v>23965.5</v>
      </c>
      <c r="H31" s="21">
        <v>2096.5</v>
      </c>
      <c r="I31" s="7">
        <v>0.46812031661600639</v>
      </c>
      <c r="J31" s="13">
        <v>0.4686564608865455</v>
      </c>
      <c r="K31" s="3">
        <v>21.900970784365221</v>
      </c>
      <c r="L31" s="3">
        <v>2.8828706968359419</v>
      </c>
      <c r="M31" s="3">
        <v>0.80010233493503691</v>
      </c>
    </row>
    <row r="32" spans="1:13" ht="18" customHeight="1" x14ac:dyDescent="0.2">
      <c r="A32" s="16">
        <v>9</v>
      </c>
      <c r="B32" s="17">
        <v>1411</v>
      </c>
      <c r="C32" s="17">
        <v>1580</v>
      </c>
      <c r="D32" s="18">
        <v>0.46074300726647149</v>
      </c>
      <c r="E32" s="18">
        <v>0.4419149214205752</v>
      </c>
      <c r="F32" s="10">
        <v>0.45132896434352338</v>
      </c>
      <c r="G32" s="19">
        <v>24070.5</v>
      </c>
      <c r="H32" s="19">
        <v>2161.5</v>
      </c>
      <c r="I32" s="7">
        <v>0.46440352839888871</v>
      </c>
      <c r="J32" s="13">
        <v>0.45293774163945277</v>
      </c>
      <c r="K32" s="18">
        <v>22.198426186638329</v>
      </c>
      <c r="L32" s="18">
        <v>2.8727592762360858</v>
      </c>
      <c r="M32" s="18">
        <v>0.81959772959650168</v>
      </c>
    </row>
    <row r="33" spans="1:13" ht="18" customHeight="1" x14ac:dyDescent="0.2">
      <c r="A33" s="20">
        <v>10</v>
      </c>
      <c r="B33" s="2">
        <v>1581</v>
      </c>
      <c r="C33" s="2">
        <v>1750</v>
      </c>
      <c r="D33" s="3">
        <v>0.44274685654371149</v>
      </c>
      <c r="E33" s="3">
        <v>0.4701968132034447</v>
      </c>
      <c r="F33" s="10">
        <v>0.45647183487357812</v>
      </c>
      <c r="G33" s="21">
        <v>23994</v>
      </c>
      <c r="H33" s="21">
        <v>2157</v>
      </c>
      <c r="I33" s="7">
        <v>0.45817004212648088</v>
      </c>
      <c r="J33" s="13">
        <v>0.46836300141959308</v>
      </c>
      <c r="K33" s="3">
        <v>23.783227753090689</v>
      </c>
      <c r="L33" s="3">
        <v>2.8341450270894879</v>
      </c>
      <c r="M33" s="3">
        <v>0.80290185003764769</v>
      </c>
    </row>
    <row r="34" spans="1:13" ht="18" customHeight="1" x14ac:dyDescent="0.2">
      <c r="A34" s="16">
        <v>11</v>
      </c>
      <c r="B34" s="17">
        <v>1751</v>
      </c>
      <c r="C34" s="17">
        <v>1920</v>
      </c>
      <c r="D34" s="18">
        <v>0.43569868259486649</v>
      </c>
      <c r="E34" s="18">
        <v>0.42722641033848607</v>
      </c>
      <c r="F34" s="10">
        <v>0.43146254646667631</v>
      </c>
      <c r="G34" s="19">
        <v>23971</v>
      </c>
      <c r="H34" s="19">
        <v>2121</v>
      </c>
      <c r="I34" s="7">
        <v>0.45552238165143921</v>
      </c>
      <c r="J34" s="13">
        <v>0.44777199805769913</v>
      </c>
      <c r="K34" s="18">
        <v>19.155671267951799</v>
      </c>
      <c r="L34" s="18">
        <v>2.8569662431312408</v>
      </c>
      <c r="M34" s="18">
        <v>0.76595745432570428</v>
      </c>
    </row>
    <row r="35" spans="1:13" ht="18" customHeight="1" x14ac:dyDescent="0.2">
      <c r="A35" s="20">
        <v>12</v>
      </c>
      <c r="B35" s="2">
        <v>1921</v>
      </c>
      <c r="C35" s="2">
        <v>2090</v>
      </c>
      <c r="D35" s="3">
        <v>0.43918251610707459</v>
      </c>
      <c r="E35" s="3">
        <v>0.47413467985189067</v>
      </c>
      <c r="F35" s="10">
        <v>0.45665859797948272</v>
      </c>
      <c r="G35" s="21">
        <v>24086.5</v>
      </c>
      <c r="H35" s="21">
        <v>2146</v>
      </c>
      <c r="I35" s="7">
        <v>0.4421868837047444</v>
      </c>
      <c r="J35" s="13">
        <v>0.45674644339073139</v>
      </c>
      <c r="K35" s="3">
        <v>23.908232970894371</v>
      </c>
      <c r="L35" s="3">
        <v>2.8291291869460031</v>
      </c>
      <c r="M35" s="3">
        <v>0.83137722284527982</v>
      </c>
    </row>
    <row r="36" spans="1:13" ht="18" customHeight="1" x14ac:dyDescent="0.2">
      <c r="A36" s="5" t="s">
        <v>52</v>
      </c>
      <c r="B36" s="22"/>
      <c r="C36" s="22"/>
      <c r="D36" s="23">
        <v>0.44058034508507959</v>
      </c>
      <c r="E36" s="23">
        <v>0.46007087146692899</v>
      </c>
      <c r="F36" s="23">
        <v>0.45032560827600432</v>
      </c>
      <c r="G36" s="24">
        <v>24003.208333333328</v>
      </c>
      <c r="H36" s="24">
        <v>2126.583333333333</v>
      </c>
      <c r="I36" s="23">
        <v>0.45663876268231651</v>
      </c>
      <c r="J36" s="25">
        <v>0.46216466371771681</v>
      </c>
      <c r="K36" s="23">
        <v>22.37597093551511</v>
      </c>
      <c r="L36" s="23">
        <v>2.854217745795729</v>
      </c>
      <c r="M36" s="23">
        <v>0.80384038258370705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topLeftCell="D1" zoomScale="142" workbookViewId="0">
      <pane ySplit="23" topLeftCell="A24" activePane="bottomLeft" state="frozen"/>
      <selection pane="bottomLeft" sqref="A1:M1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154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770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9240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9290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109128.25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9625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54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55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0.459026445691679</v>
      </c>
      <c r="C16" s="6">
        <v>2.7945453739982081E-3</v>
      </c>
      <c r="D16" s="3">
        <v>5.2863459724068453E-2</v>
      </c>
      <c r="E16" s="7">
        <v>2.9910318047946149E-2</v>
      </c>
      <c r="F16" s="8">
        <v>0.42911612764373291</v>
      </c>
      <c r="G16" s="8">
        <v>0.48893676373962508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0.4550211782165503</v>
      </c>
      <c r="C17" s="6">
        <v>1.6611454647663449E-3</v>
      </c>
      <c r="D17" s="3">
        <v>4.0757152314242283E-2</v>
      </c>
      <c r="E17" s="7">
        <v>2.306052980282975E-2</v>
      </c>
      <c r="F17" s="8">
        <v>0.43196064841372062</v>
      </c>
      <c r="G17" s="8">
        <v>0.47808170801937999</v>
      </c>
      <c r="H17" s="11">
        <v>0.40557577621661112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0.48487169846357009</v>
      </c>
      <c r="C18" s="6">
        <v>1.7394280183303059E-3</v>
      </c>
      <c r="D18" s="3">
        <v>4.1706450560198789E-2</v>
      </c>
      <c r="E18" s="7">
        <v>2.35976458487171E-2</v>
      </c>
      <c r="F18" s="8">
        <v>0.46127405261485299</v>
      </c>
      <c r="G18" s="8">
        <v>0.50846934431228719</v>
      </c>
      <c r="H18" s="12">
        <v>0.37756315051643841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0.48334281999328571</v>
      </c>
      <c r="C19" s="6">
        <v>7.7688951154161843E-4</v>
      </c>
      <c r="D19" s="3">
        <v>2.7872737783390032E-2</v>
      </c>
      <c r="E19" s="7">
        <v>1.577048600904625E-2</v>
      </c>
      <c r="F19" s="8">
        <v>0.46757233398423942</v>
      </c>
      <c r="G19" s="8">
        <v>0.49911330600233189</v>
      </c>
      <c r="H19" s="14">
        <v>0.72199788961375555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820</v>
      </c>
      <c r="D24" s="18">
        <v>0.37638064924526887</v>
      </c>
      <c r="E24" s="18">
        <v>0.52310336886650355</v>
      </c>
      <c r="F24" s="10">
        <v>0.44974200905588618</v>
      </c>
      <c r="G24" s="19">
        <v>108751.5</v>
      </c>
      <c r="H24" s="19">
        <v>9587</v>
      </c>
      <c r="I24" s="7">
        <v>0.46233612271603841</v>
      </c>
      <c r="J24" s="13">
        <v>0.48761413089147349</v>
      </c>
      <c r="K24" s="18">
        <v>37.911396669181848</v>
      </c>
      <c r="L24" s="18">
        <v>2.0167104027968059</v>
      </c>
      <c r="M24" s="18">
        <v>0.75353804368351318</v>
      </c>
    </row>
    <row r="25" spans="1:13" ht="18" customHeight="1" x14ac:dyDescent="0.2">
      <c r="A25" s="20">
        <v>2</v>
      </c>
      <c r="B25" s="2">
        <v>821</v>
      </c>
      <c r="C25" s="2">
        <v>1590</v>
      </c>
      <c r="D25" s="3">
        <v>0.43798826238586819</v>
      </c>
      <c r="E25" s="3">
        <v>0.39653257317184393</v>
      </c>
      <c r="F25" s="10">
        <v>0.41726041777885597</v>
      </c>
      <c r="G25" s="21">
        <v>108590.5</v>
      </c>
      <c r="H25" s="21">
        <v>9628</v>
      </c>
      <c r="I25" s="7">
        <v>0.47955399089820439</v>
      </c>
      <c r="J25" s="13">
        <v>0.47365092472255188</v>
      </c>
      <c r="K25" s="3">
        <v>31.738456384298271</v>
      </c>
      <c r="L25" s="3">
        <v>2.0550693108508691</v>
      </c>
      <c r="M25" s="3">
        <v>0.78953824485587976</v>
      </c>
    </row>
    <row r="26" spans="1:13" ht="18" customHeight="1" x14ac:dyDescent="0.2">
      <c r="A26" s="16">
        <v>3</v>
      </c>
      <c r="B26" s="17">
        <v>1591</v>
      </c>
      <c r="C26" s="17">
        <v>2360</v>
      </c>
      <c r="D26" s="18">
        <v>0.38929846370859228</v>
      </c>
      <c r="E26" s="18">
        <v>0.45374362136898938</v>
      </c>
      <c r="F26" s="10">
        <v>0.42152104253879091</v>
      </c>
      <c r="G26" s="19">
        <v>108718</v>
      </c>
      <c r="H26" s="19">
        <v>9671.5</v>
      </c>
      <c r="I26" s="7">
        <v>0.45105061018466541</v>
      </c>
      <c r="J26" s="13">
        <v>0.46634430994214993</v>
      </c>
      <c r="K26" s="18">
        <v>32.520554391359042</v>
      </c>
      <c r="L26" s="18">
        <v>2.051516826169169</v>
      </c>
      <c r="M26" s="18">
        <v>0.75947712148825697</v>
      </c>
    </row>
    <row r="27" spans="1:13" ht="18" customHeight="1" x14ac:dyDescent="0.2">
      <c r="A27" s="20">
        <v>4</v>
      </c>
      <c r="B27" s="2">
        <v>2361</v>
      </c>
      <c r="C27" s="2">
        <v>3130</v>
      </c>
      <c r="D27" s="3">
        <v>0.47869478125133491</v>
      </c>
      <c r="E27" s="3">
        <v>0.49381701607500622</v>
      </c>
      <c r="F27" s="10">
        <v>0.48625589866317048</v>
      </c>
      <c r="G27" s="21">
        <v>109480</v>
      </c>
      <c r="H27" s="21">
        <v>9535.5</v>
      </c>
      <c r="I27" s="7">
        <v>0.45507091875146982</v>
      </c>
      <c r="J27" s="13">
        <v>0.44580035569149362</v>
      </c>
      <c r="K27" s="3">
        <v>43.899561383155877</v>
      </c>
      <c r="L27" s="3">
        <v>2.0245408710137558</v>
      </c>
      <c r="M27" s="3">
        <v>0.76708724403841888</v>
      </c>
    </row>
    <row r="28" spans="1:13" ht="18" customHeight="1" x14ac:dyDescent="0.2">
      <c r="A28" s="16">
        <v>5</v>
      </c>
      <c r="B28" s="17">
        <v>3131</v>
      </c>
      <c r="C28" s="17">
        <v>3900</v>
      </c>
      <c r="D28" s="18">
        <v>0.44560207859414208</v>
      </c>
      <c r="E28" s="18">
        <v>0.41387233601737722</v>
      </c>
      <c r="F28" s="10">
        <v>0.42973720730575959</v>
      </c>
      <c r="G28" s="19">
        <v>108637.5</v>
      </c>
      <c r="H28" s="19">
        <v>9624.5</v>
      </c>
      <c r="I28" s="7">
        <v>0.49629730050962068</v>
      </c>
      <c r="J28" s="13">
        <v>0.48106708152757899</v>
      </c>
      <c r="K28" s="18">
        <v>34.409155930938098</v>
      </c>
      <c r="L28" s="18">
        <v>2.024287226594438</v>
      </c>
      <c r="M28" s="18">
        <v>0.77278447176173992</v>
      </c>
    </row>
    <row r="29" spans="1:13" ht="18" customHeight="1" x14ac:dyDescent="0.2">
      <c r="A29" s="20">
        <v>6</v>
      </c>
      <c r="B29" s="2">
        <v>3901</v>
      </c>
      <c r="C29" s="2">
        <v>4670</v>
      </c>
      <c r="D29" s="3">
        <v>0.54428546633067532</v>
      </c>
      <c r="E29" s="3">
        <v>0.53279919902233885</v>
      </c>
      <c r="F29" s="10">
        <v>0.53854233267650709</v>
      </c>
      <c r="G29" s="21">
        <v>109156</v>
      </c>
      <c r="H29" s="21">
        <v>9534.5</v>
      </c>
      <c r="I29" s="7">
        <v>0.5592732323977333</v>
      </c>
      <c r="J29" s="13">
        <v>0.53194817154051222</v>
      </c>
      <c r="K29" s="3">
        <v>52.295903296542377</v>
      </c>
      <c r="L29" s="3">
        <v>2.0453147460595091</v>
      </c>
      <c r="M29" s="3">
        <v>0.76674595372257914</v>
      </c>
    </row>
    <row r="30" spans="1:13" ht="18" customHeight="1" x14ac:dyDescent="0.2">
      <c r="A30" s="16">
        <v>7</v>
      </c>
      <c r="B30" s="17">
        <v>4671</v>
      </c>
      <c r="C30" s="17">
        <v>5440</v>
      </c>
      <c r="D30" s="18">
        <v>0.52734917979429718</v>
      </c>
      <c r="E30" s="18">
        <v>0.48582968248880293</v>
      </c>
      <c r="F30" s="10">
        <v>0.50658943114155008</v>
      </c>
      <c r="G30" s="19">
        <v>108838.5</v>
      </c>
      <c r="H30" s="19">
        <v>9665</v>
      </c>
      <c r="I30" s="7">
        <v>0.56958182098869181</v>
      </c>
      <c r="J30" s="13">
        <v>0.5385389607010006</v>
      </c>
      <c r="K30" s="18">
        <v>47.065412616853692</v>
      </c>
      <c r="L30" s="18">
        <v>2.0379434900853601</v>
      </c>
      <c r="M30" s="18">
        <v>0.76339966710581897</v>
      </c>
    </row>
    <row r="31" spans="1:13" ht="18" customHeight="1" x14ac:dyDescent="0.2">
      <c r="A31" s="20">
        <v>8</v>
      </c>
      <c r="B31" s="2">
        <v>5441</v>
      </c>
      <c r="C31" s="2">
        <v>6210</v>
      </c>
      <c r="D31" s="3">
        <v>0.48042493520117791</v>
      </c>
      <c r="E31" s="3">
        <v>0.39468474446198909</v>
      </c>
      <c r="F31" s="10">
        <v>0.4375548398315835</v>
      </c>
      <c r="G31" s="21">
        <v>108890.5</v>
      </c>
      <c r="H31" s="21">
        <v>9513.5</v>
      </c>
      <c r="I31" s="7">
        <v>0.46227095315380401</v>
      </c>
      <c r="J31" s="13">
        <v>0.45788525607970088</v>
      </c>
      <c r="K31" s="3">
        <v>36.088793398158508</v>
      </c>
      <c r="L31" s="3">
        <v>2.0046653407257602</v>
      </c>
      <c r="M31" s="3">
        <v>0.73702580966640596</v>
      </c>
    </row>
    <row r="32" spans="1:13" ht="18" customHeight="1" x14ac:dyDescent="0.2">
      <c r="A32" s="16">
        <v>9</v>
      </c>
      <c r="B32" s="17">
        <v>6211</v>
      </c>
      <c r="C32" s="17">
        <v>6980</v>
      </c>
      <c r="D32" s="18">
        <v>0.49511225830418992</v>
      </c>
      <c r="E32" s="18">
        <v>0.44727873983268052</v>
      </c>
      <c r="F32" s="10">
        <v>0.47119549906843522</v>
      </c>
      <c r="G32" s="19">
        <v>108956.5</v>
      </c>
      <c r="H32" s="19">
        <v>9587.5</v>
      </c>
      <c r="I32" s="7">
        <v>0.50063546414077775</v>
      </c>
      <c r="J32" s="13">
        <v>0.48763756912817058</v>
      </c>
      <c r="K32" s="18">
        <v>41.016889098705093</v>
      </c>
      <c r="L32" s="18">
        <v>2.04342614704243</v>
      </c>
      <c r="M32" s="18">
        <v>0.78287653644961408</v>
      </c>
    </row>
    <row r="33" spans="1:13" ht="18" customHeight="1" x14ac:dyDescent="0.2">
      <c r="A33" s="20">
        <v>10</v>
      </c>
      <c r="B33" s="2">
        <v>6981</v>
      </c>
      <c r="C33" s="2">
        <v>7750</v>
      </c>
      <c r="D33" s="3">
        <v>0.46740568169198282</v>
      </c>
      <c r="E33" s="3">
        <v>0.46834573798446688</v>
      </c>
      <c r="F33" s="10">
        <v>0.46787570983822491</v>
      </c>
      <c r="G33" s="21">
        <v>109092.5</v>
      </c>
      <c r="H33" s="21">
        <v>9664.5</v>
      </c>
      <c r="I33" s="7">
        <v>0.4738229066530002</v>
      </c>
      <c r="J33" s="13">
        <v>0.47322722992173688</v>
      </c>
      <c r="K33" s="3">
        <v>40.927764527415697</v>
      </c>
      <c r="L33" s="3">
        <v>2.018322574575325</v>
      </c>
      <c r="M33" s="3">
        <v>0.76914900314481804</v>
      </c>
    </row>
    <row r="34" spans="1:13" ht="18" customHeight="1" x14ac:dyDescent="0.2">
      <c r="A34" s="16">
        <v>11</v>
      </c>
      <c r="B34" s="17">
        <v>7751</v>
      </c>
      <c r="C34" s="17">
        <v>8520</v>
      </c>
      <c r="D34" s="18">
        <v>0.39478156073164339</v>
      </c>
      <c r="E34" s="18">
        <v>0.39865288549511479</v>
      </c>
      <c r="F34" s="10">
        <v>0.39671722311337909</v>
      </c>
      <c r="G34" s="19">
        <v>108455.5</v>
      </c>
      <c r="H34" s="19">
        <v>9509.5</v>
      </c>
      <c r="I34" s="7">
        <v>0.43224889634719432</v>
      </c>
      <c r="J34" s="13">
        <v>0.46240131324498379</v>
      </c>
      <c r="K34" s="18">
        <v>28.78120235398324</v>
      </c>
      <c r="L34" s="18">
        <v>2.028604881914168</v>
      </c>
      <c r="M34" s="18">
        <v>0.74599441502314567</v>
      </c>
    </row>
    <row r="35" spans="1:13" ht="18" customHeight="1" x14ac:dyDescent="0.2">
      <c r="A35" s="20">
        <v>12</v>
      </c>
      <c r="B35" s="2">
        <v>8521</v>
      </c>
      <c r="C35" s="2">
        <v>9290</v>
      </c>
      <c r="D35" s="3">
        <v>0.47099403106097443</v>
      </c>
      <c r="E35" s="3">
        <v>0.40353102411194569</v>
      </c>
      <c r="F35" s="10">
        <v>0.43726252758646</v>
      </c>
      <c r="G35" s="21">
        <v>108598.5</v>
      </c>
      <c r="H35" s="21">
        <v>9657</v>
      </c>
      <c r="I35" s="7">
        <v>0.47631816482164152</v>
      </c>
      <c r="J35" s="13">
        <v>0.49399853652807479</v>
      </c>
      <c r="K35" s="3">
        <v>35.416844286908642</v>
      </c>
      <c r="L35" s="3">
        <v>2.0380318043366059</v>
      </c>
      <c r="M35" s="3">
        <v>0.78156230623633771</v>
      </c>
    </row>
    <row r="36" spans="1:13" ht="18" customHeight="1" x14ac:dyDescent="0.2">
      <c r="A36" s="5" t="s">
        <v>52</v>
      </c>
      <c r="B36" s="22"/>
      <c r="C36" s="22"/>
      <c r="D36" s="23">
        <v>0.459026445691679</v>
      </c>
      <c r="E36" s="23">
        <v>0.45101591074142161</v>
      </c>
      <c r="F36" s="23">
        <v>0.4550211782165503</v>
      </c>
      <c r="G36" s="24">
        <v>108847.125</v>
      </c>
      <c r="H36" s="24">
        <v>9598.1666666666661</v>
      </c>
      <c r="I36" s="23">
        <v>0.48487169846357009</v>
      </c>
      <c r="J36" s="25">
        <v>0.48334281999328571</v>
      </c>
      <c r="K36" s="23">
        <v>38.505994528125044</v>
      </c>
      <c r="L36" s="23">
        <v>2.0323694685136831</v>
      </c>
      <c r="M36" s="23">
        <v>0.76576490143137743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workbookViewId="0">
      <pane ySplit="23" topLeftCell="A24" activePane="bottomLeft" state="frozen"/>
      <selection pane="bottomLeft" sqref="A1:M1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56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154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770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9240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9290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109128.25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9625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57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58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0.51714243201267651</v>
      </c>
      <c r="C16" s="6">
        <v>2.850860107902255E-3</v>
      </c>
      <c r="D16" s="3">
        <v>5.3393446301041987E-2</v>
      </c>
      <c r="E16" s="7">
        <v>3.0210186182971051E-2</v>
      </c>
      <c r="F16" s="8">
        <v>0.48693224582970551</v>
      </c>
      <c r="G16" s="8">
        <v>0.54735261819564751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0.51291406914438842</v>
      </c>
      <c r="C17" s="6">
        <v>1.653158738454082E-3</v>
      </c>
      <c r="D17" s="3">
        <v>4.0659054815060353E-2</v>
      </c>
      <c r="E17" s="7">
        <v>2.3005025917621429E-2</v>
      </c>
      <c r="F17" s="8">
        <v>0.48990904322676698</v>
      </c>
      <c r="G17" s="8">
        <v>0.53591909506200985</v>
      </c>
      <c r="H17" s="11">
        <v>0.42011930579416479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0.54396504904092868</v>
      </c>
      <c r="C18" s="6">
        <v>1.715790966114108E-3</v>
      </c>
      <c r="D18" s="3">
        <v>4.1422107214796652E-2</v>
      </c>
      <c r="E18" s="7">
        <v>2.3436763455847099E-2</v>
      </c>
      <c r="F18" s="8">
        <v>0.52052828558508157</v>
      </c>
      <c r="G18" s="8">
        <v>0.56740181249677579</v>
      </c>
      <c r="H18" s="12">
        <v>0.39814971581448899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0.54120828463315318</v>
      </c>
      <c r="C19" s="6">
        <v>7.656891228411955E-4</v>
      </c>
      <c r="D19" s="3">
        <v>2.7671088212088722E-2</v>
      </c>
      <c r="E19" s="7">
        <v>1.565639202345892E-2</v>
      </c>
      <c r="F19" s="8">
        <v>0.52555189260969426</v>
      </c>
      <c r="G19" s="8">
        <v>0.5568646766566121</v>
      </c>
      <c r="H19" s="14">
        <v>0.73141820578330252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820</v>
      </c>
      <c r="D24" s="18">
        <v>0.43623603571029862</v>
      </c>
      <c r="E24" s="18">
        <v>0.5814641838480431</v>
      </c>
      <c r="F24" s="10">
        <v>0.50885010977917089</v>
      </c>
      <c r="G24" s="19">
        <v>108751.5</v>
      </c>
      <c r="H24" s="19">
        <v>9587</v>
      </c>
      <c r="I24" s="7">
        <v>0.52532891412113314</v>
      </c>
      <c r="J24" s="13">
        <v>0.54668067041620072</v>
      </c>
      <c r="K24" s="18">
        <v>38.794131431492637</v>
      </c>
      <c r="L24" s="18">
        <v>2.501393947039718</v>
      </c>
      <c r="M24" s="18">
        <v>0.47762209682628681</v>
      </c>
    </row>
    <row r="25" spans="1:13" ht="18" customHeight="1" x14ac:dyDescent="0.2">
      <c r="A25" s="20">
        <v>2</v>
      </c>
      <c r="B25" s="2">
        <v>821</v>
      </c>
      <c r="C25" s="2">
        <v>1590</v>
      </c>
      <c r="D25" s="3">
        <v>0.49437970761159128</v>
      </c>
      <c r="E25" s="3">
        <v>0.45513365816088491</v>
      </c>
      <c r="F25" s="10">
        <v>0.47475668288623812</v>
      </c>
      <c r="G25" s="21">
        <v>108591.5</v>
      </c>
      <c r="H25" s="21">
        <v>9628</v>
      </c>
      <c r="I25" s="7">
        <v>0.53735976998271873</v>
      </c>
      <c r="J25" s="13">
        <v>0.53128235803047041</v>
      </c>
      <c r="K25" s="3">
        <v>32.525461693327017</v>
      </c>
      <c r="L25" s="3">
        <v>2.5303746981193389</v>
      </c>
      <c r="M25" s="3">
        <v>0.48816522869686357</v>
      </c>
    </row>
    <row r="26" spans="1:13" ht="18" customHeight="1" x14ac:dyDescent="0.2">
      <c r="A26" s="16">
        <v>3</v>
      </c>
      <c r="B26" s="17">
        <v>1591</v>
      </c>
      <c r="C26" s="17">
        <v>2360</v>
      </c>
      <c r="D26" s="18">
        <v>0.44620316888352879</v>
      </c>
      <c r="E26" s="18">
        <v>0.50851998891672456</v>
      </c>
      <c r="F26" s="10">
        <v>0.4773615789001267</v>
      </c>
      <c r="G26" s="19">
        <v>108717</v>
      </c>
      <c r="H26" s="19">
        <v>9671.5</v>
      </c>
      <c r="I26" s="7">
        <v>0.51019433107105916</v>
      </c>
      <c r="J26" s="13">
        <v>0.52270453338816092</v>
      </c>
      <c r="K26" s="18">
        <v>33.424477742649202</v>
      </c>
      <c r="L26" s="18">
        <v>2.505657188173505</v>
      </c>
      <c r="M26" s="18">
        <v>0.46962400528019049</v>
      </c>
    </row>
    <row r="27" spans="1:13" ht="18" customHeight="1" x14ac:dyDescent="0.2">
      <c r="A27" s="20">
        <v>4</v>
      </c>
      <c r="B27" s="2">
        <v>2361</v>
      </c>
      <c r="C27" s="2">
        <v>3130</v>
      </c>
      <c r="D27" s="3">
        <v>0.5359625950399528</v>
      </c>
      <c r="E27" s="3">
        <v>0.55342619054594211</v>
      </c>
      <c r="F27" s="10">
        <v>0.54469439279294751</v>
      </c>
      <c r="G27" s="21">
        <v>109479.5</v>
      </c>
      <c r="H27" s="21">
        <v>9535.5</v>
      </c>
      <c r="I27" s="7">
        <v>0.51179550854144529</v>
      </c>
      <c r="J27" s="13">
        <v>0.50367613983352189</v>
      </c>
      <c r="K27" s="3">
        <v>44.753681899631353</v>
      </c>
      <c r="L27" s="3">
        <v>2.504730861941991</v>
      </c>
      <c r="M27" s="3">
        <v>0.47535247839408501</v>
      </c>
    </row>
    <row r="28" spans="1:13" ht="18" customHeight="1" x14ac:dyDescent="0.2">
      <c r="A28" s="16">
        <v>5</v>
      </c>
      <c r="B28" s="17">
        <v>3131</v>
      </c>
      <c r="C28" s="17">
        <v>3900</v>
      </c>
      <c r="D28" s="18">
        <v>0.49790904906662492</v>
      </c>
      <c r="E28" s="18">
        <v>0.47392040004759961</v>
      </c>
      <c r="F28" s="10">
        <v>0.48591472455711221</v>
      </c>
      <c r="G28" s="19">
        <v>108638</v>
      </c>
      <c r="H28" s="19">
        <v>9624.5</v>
      </c>
      <c r="I28" s="7">
        <v>0.55035791030779924</v>
      </c>
      <c r="J28" s="13">
        <v>0.53739435407908165</v>
      </c>
      <c r="K28" s="18">
        <v>35.110220995289453</v>
      </c>
      <c r="L28" s="18">
        <v>2.49232782483779</v>
      </c>
      <c r="M28" s="18">
        <v>0.47683174723283223</v>
      </c>
    </row>
    <row r="29" spans="1:13" ht="18" customHeight="1" x14ac:dyDescent="0.2">
      <c r="A29" s="20">
        <v>6</v>
      </c>
      <c r="B29" s="2">
        <v>3901</v>
      </c>
      <c r="C29" s="2">
        <v>4670</v>
      </c>
      <c r="D29" s="3">
        <v>0.59958825607433774</v>
      </c>
      <c r="E29" s="3">
        <v>0.58738828302599166</v>
      </c>
      <c r="F29" s="10">
        <v>0.59348826955016465</v>
      </c>
      <c r="G29" s="21">
        <v>109156</v>
      </c>
      <c r="H29" s="21">
        <v>9534.5</v>
      </c>
      <c r="I29" s="7">
        <v>0.61522323016023772</v>
      </c>
      <c r="J29" s="13">
        <v>0.58640891535425987</v>
      </c>
      <c r="K29" s="3">
        <v>52.994420838175976</v>
      </c>
      <c r="L29" s="3">
        <v>2.5024075953349119</v>
      </c>
      <c r="M29" s="3">
        <v>0.47688535094292439</v>
      </c>
    </row>
    <row r="30" spans="1:13" ht="18" customHeight="1" x14ac:dyDescent="0.2">
      <c r="A30" s="16">
        <v>7</v>
      </c>
      <c r="B30" s="17">
        <v>4671</v>
      </c>
      <c r="C30" s="17">
        <v>5440</v>
      </c>
      <c r="D30" s="18">
        <v>0.58645424625239329</v>
      </c>
      <c r="E30" s="18">
        <v>0.54510191189290502</v>
      </c>
      <c r="F30" s="10">
        <v>0.56577807907264921</v>
      </c>
      <c r="G30" s="19">
        <v>108838</v>
      </c>
      <c r="H30" s="19">
        <v>9665</v>
      </c>
      <c r="I30" s="7">
        <v>0.63030125142853777</v>
      </c>
      <c r="J30" s="13">
        <v>0.59811044146941383</v>
      </c>
      <c r="K30" s="18">
        <v>47.829755030123849</v>
      </c>
      <c r="L30" s="18">
        <v>2.5296944064686371</v>
      </c>
      <c r="M30" s="18">
        <v>0.4884052377451597</v>
      </c>
    </row>
    <row r="31" spans="1:13" ht="18" customHeight="1" x14ac:dyDescent="0.2">
      <c r="A31" s="20">
        <v>8</v>
      </c>
      <c r="B31" s="2">
        <v>5441</v>
      </c>
      <c r="C31" s="2">
        <v>6210</v>
      </c>
      <c r="D31" s="3">
        <v>0.54513169566911512</v>
      </c>
      <c r="E31" s="3">
        <v>0.45355954469170939</v>
      </c>
      <c r="F31" s="10">
        <v>0.49934562018041229</v>
      </c>
      <c r="G31" s="21">
        <v>108891.5</v>
      </c>
      <c r="H31" s="21">
        <v>9513.5</v>
      </c>
      <c r="I31" s="7">
        <v>0.52629983868784891</v>
      </c>
      <c r="J31" s="13">
        <v>0.51908674386798848</v>
      </c>
      <c r="K31" s="3">
        <v>37.061266135581647</v>
      </c>
      <c r="L31" s="3">
        <v>2.508685610074695</v>
      </c>
      <c r="M31" s="3">
        <v>0.46817248122490168</v>
      </c>
    </row>
    <row r="32" spans="1:13" ht="18" customHeight="1" x14ac:dyDescent="0.2">
      <c r="A32" s="16">
        <v>9</v>
      </c>
      <c r="B32" s="17">
        <v>6211</v>
      </c>
      <c r="C32" s="17">
        <v>6980</v>
      </c>
      <c r="D32" s="18">
        <v>0.55644821589152538</v>
      </c>
      <c r="E32" s="18">
        <v>0.5032425242141233</v>
      </c>
      <c r="F32" s="10">
        <v>0.52984537005282428</v>
      </c>
      <c r="G32" s="19">
        <v>108956</v>
      </c>
      <c r="H32" s="19">
        <v>9587.5</v>
      </c>
      <c r="I32" s="7">
        <v>0.56222553656263152</v>
      </c>
      <c r="J32" s="13">
        <v>0.54621543046792953</v>
      </c>
      <c r="K32" s="18">
        <v>41.899143087563161</v>
      </c>
      <c r="L32" s="18">
        <v>2.5240113793559642</v>
      </c>
      <c r="M32" s="18">
        <v>0.49404013320749163</v>
      </c>
    </row>
    <row r="33" spans="1:13" ht="18" customHeight="1" x14ac:dyDescent="0.2">
      <c r="A33" s="20">
        <v>10</v>
      </c>
      <c r="B33" s="2">
        <v>6981</v>
      </c>
      <c r="C33" s="2">
        <v>7750</v>
      </c>
      <c r="D33" s="3">
        <v>0.52693458659886039</v>
      </c>
      <c r="E33" s="3">
        <v>0.52377755608141141</v>
      </c>
      <c r="F33" s="10">
        <v>0.52535607134013595</v>
      </c>
      <c r="G33" s="21">
        <v>109093</v>
      </c>
      <c r="H33" s="21">
        <v>9664.5</v>
      </c>
      <c r="I33" s="7">
        <v>0.53348496426251146</v>
      </c>
      <c r="J33" s="13">
        <v>0.53087670329086156</v>
      </c>
      <c r="K33" s="3">
        <v>41.696555183312377</v>
      </c>
      <c r="L33" s="3">
        <v>2.4944606143837751</v>
      </c>
      <c r="M33" s="3">
        <v>0.48271224116178951</v>
      </c>
    </row>
    <row r="34" spans="1:13" ht="18" customHeight="1" x14ac:dyDescent="0.2">
      <c r="A34" s="16">
        <v>11</v>
      </c>
      <c r="B34" s="17">
        <v>7751</v>
      </c>
      <c r="C34" s="17">
        <v>8520</v>
      </c>
      <c r="D34" s="18">
        <v>0.45108472655578591</v>
      </c>
      <c r="E34" s="18">
        <v>0.45630591897828399</v>
      </c>
      <c r="F34" s="10">
        <v>0.45369532276703489</v>
      </c>
      <c r="G34" s="19">
        <v>108455</v>
      </c>
      <c r="H34" s="19">
        <v>9509.5</v>
      </c>
      <c r="I34" s="7">
        <v>0.49014354848581088</v>
      </c>
      <c r="J34" s="13">
        <v>0.51910839015335419</v>
      </c>
      <c r="K34" s="18">
        <v>29.545807132414041</v>
      </c>
      <c r="L34" s="18">
        <v>2.500446808523991</v>
      </c>
      <c r="M34" s="18">
        <v>0.46862083290479811</v>
      </c>
    </row>
    <row r="35" spans="1:13" ht="18" customHeight="1" x14ac:dyDescent="0.2">
      <c r="A35" s="20">
        <v>12</v>
      </c>
      <c r="B35" s="2">
        <v>8521</v>
      </c>
      <c r="C35" s="2">
        <v>9290</v>
      </c>
      <c r="D35" s="3">
        <v>0.5293769007981034</v>
      </c>
      <c r="E35" s="3">
        <v>0.46238831490958321</v>
      </c>
      <c r="F35" s="10">
        <v>0.4958826078538433</v>
      </c>
      <c r="G35" s="21">
        <v>108599</v>
      </c>
      <c r="H35" s="21">
        <v>9657</v>
      </c>
      <c r="I35" s="7">
        <v>0.53486578487941017</v>
      </c>
      <c r="J35" s="13">
        <v>0.55295473524659466</v>
      </c>
      <c r="K35" s="3">
        <v>36.26196651554983</v>
      </c>
      <c r="L35" s="3">
        <v>2.5203381216372782</v>
      </c>
      <c r="M35" s="3">
        <v>0.49713393050856791</v>
      </c>
    </row>
    <row r="36" spans="1:13" ht="18" customHeight="1" x14ac:dyDescent="0.2">
      <c r="A36" s="5" t="s">
        <v>52</v>
      </c>
      <c r="B36" s="22"/>
      <c r="C36" s="22"/>
      <c r="D36" s="23">
        <v>0.51714243201267651</v>
      </c>
      <c r="E36" s="23">
        <v>0.50868570627610021</v>
      </c>
      <c r="F36" s="23">
        <v>0.51291406914438842</v>
      </c>
      <c r="G36" s="24">
        <v>108847.1666666667</v>
      </c>
      <c r="H36" s="24">
        <v>9598.1666666666661</v>
      </c>
      <c r="I36" s="23">
        <v>0.54396504904092868</v>
      </c>
      <c r="J36" s="25">
        <v>0.54120828463315318</v>
      </c>
      <c r="K36" s="23">
        <v>39.32474064042588</v>
      </c>
      <c r="L36" s="23">
        <v>2.509544087990967</v>
      </c>
      <c r="M36" s="23">
        <v>0.48029714701049092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ySplit="23" topLeftCell="A24" activePane="bottomLeft" state="frozen"/>
      <selection pane="bottomLeft" sqref="A1:M1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59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35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175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2100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2150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24801.875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2187.5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60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61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0.39153255258446529</v>
      </c>
      <c r="C16" s="6">
        <v>2.5632466127012421E-4</v>
      </c>
      <c r="D16" s="3">
        <v>1.601014245002599E-2</v>
      </c>
      <c r="E16" s="7">
        <v>9.058590852221023E-3</v>
      </c>
      <c r="F16" s="8">
        <v>0.38247396173224429</v>
      </c>
      <c r="G16" s="8">
        <v>0.40059114343668639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0.40018663008662358</v>
      </c>
      <c r="C17" s="6">
        <v>1.387061704401397E-4</v>
      </c>
      <c r="D17" s="3">
        <v>1.1777358381238969E-2</v>
      </c>
      <c r="E17" s="7">
        <v>6.6636678111159919E-3</v>
      </c>
      <c r="F17" s="8">
        <v>0.39352296227550759</v>
      </c>
      <c r="G17" s="8">
        <v>0.40685029789773958</v>
      </c>
      <c r="H17" s="11">
        <v>0.45886529312930158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0.40460050250496638</v>
      </c>
      <c r="C18" s="6">
        <v>1.251219857661268E-4</v>
      </c>
      <c r="D18" s="3">
        <v>1.118579392650011E-2</v>
      </c>
      <c r="E18" s="7">
        <v>6.3289587118732296E-3</v>
      </c>
      <c r="F18" s="8">
        <v>0.39827154379309321</v>
      </c>
      <c r="G18" s="8">
        <v>0.41092946121683971</v>
      </c>
      <c r="H18" s="12">
        <v>0.5118613045419429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0.41040478612402181</v>
      </c>
      <c r="C19" s="6">
        <v>8.7741196171034209E-5</v>
      </c>
      <c r="D19" s="3">
        <v>9.3670270721843332E-3</v>
      </c>
      <c r="E19" s="7">
        <v>5.2998944895994949E-3</v>
      </c>
      <c r="F19" s="8">
        <v>0.40510489163442231</v>
      </c>
      <c r="G19" s="8">
        <v>0.41570468061362131</v>
      </c>
      <c r="H19" s="14">
        <v>0.65769506634178532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225</v>
      </c>
      <c r="D24" s="18">
        <v>0.38468907047834089</v>
      </c>
      <c r="E24" s="18">
        <v>0.47729888511021862</v>
      </c>
      <c r="F24" s="10">
        <v>0.43099397779427973</v>
      </c>
      <c r="G24" s="19">
        <v>24811</v>
      </c>
      <c r="H24" s="19">
        <v>2186</v>
      </c>
      <c r="I24" s="7">
        <v>0.40842955260384611</v>
      </c>
      <c r="J24" s="13">
        <v>0.43029791141774049</v>
      </c>
      <c r="K24" s="18">
        <v>27.040847141350309</v>
      </c>
      <c r="L24" s="18">
        <v>2.4303289890047521</v>
      </c>
      <c r="M24" s="18">
        <v>1.0710155952456939</v>
      </c>
    </row>
    <row r="25" spans="1:13" ht="18" customHeight="1" x14ac:dyDescent="0.2">
      <c r="A25" s="20">
        <v>2</v>
      </c>
      <c r="B25" s="2">
        <v>226</v>
      </c>
      <c r="C25" s="2">
        <v>400</v>
      </c>
      <c r="D25" s="3">
        <v>0.35506444907791279</v>
      </c>
      <c r="E25" s="3">
        <v>0.42899592842045281</v>
      </c>
      <c r="F25" s="10">
        <v>0.39203018874918277</v>
      </c>
      <c r="G25" s="21">
        <v>24652.5</v>
      </c>
      <c r="H25" s="21">
        <v>2156.5</v>
      </c>
      <c r="I25" s="7">
        <v>0.39938705026423149</v>
      </c>
      <c r="J25" s="13">
        <v>0.41636160842424352</v>
      </c>
      <c r="K25" s="3">
        <v>20.503179127601069</v>
      </c>
      <c r="L25" s="3">
        <v>2.429887102621159</v>
      </c>
      <c r="M25" s="3">
        <v>1.088418980510677</v>
      </c>
    </row>
    <row r="26" spans="1:13" ht="18" customHeight="1" x14ac:dyDescent="0.2">
      <c r="A26" s="16">
        <v>3</v>
      </c>
      <c r="B26" s="17">
        <v>401</v>
      </c>
      <c r="C26" s="17">
        <v>575</v>
      </c>
      <c r="D26" s="18">
        <v>0.39728673962785288</v>
      </c>
      <c r="E26" s="18">
        <v>0.39687811191447142</v>
      </c>
      <c r="F26" s="10">
        <v>0.39708242577116221</v>
      </c>
      <c r="G26" s="19">
        <v>24752.5</v>
      </c>
      <c r="H26" s="19">
        <v>2192</v>
      </c>
      <c r="I26" s="7">
        <v>0.39662258785384669</v>
      </c>
      <c r="J26" s="13">
        <v>0.40169096343970551</v>
      </c>
      <c r="K26" s="18">
        <v>22.20486784463515</v>
      </c>
      <c r="L26" s="18">
        <v>2.384195340263576</v>
      </c>
      <c r="M26" s="18">
        <v>1.038882088751842</v>
      </c>
    </row>
    <row r="27" spans="1:13" ht="18" customHeight="1" x14ac:dyDescent="0.2">
      <c r="A27" s="20">
        <v>4</v>
      </c>
      <c r="B27" s="2">
        <v>576</v>
      </c>
      <c r="C27" s="2">
        <v>750</v>
      </c>
      <c r="D27" s="3">
        <v>0.37756057165199641</v>
      </c>
      <c r="E27" s="3">
        <v>0.42692911185713761</v>
      </c>
      <c r="F27" s="10">
        <v>0.40224484175456698</v>
      </c>
      <c r="G27" s="21">
        <v>24752</v>
      </c>
      <c r="H27" s="21">
        <v>2192.5</v>
      </c>
      <c r="I27" s="7">
        <v>0.39240289112513732</v>
      </c>
      <c r="J27" s="13">
        <v>0.40679422607348231</v>
      </c>
      <c r="K27" s="3">
        <v>23.035340066862229</v>
      </c>
      <c r="L27" s="3">
        <v>2.3861675007806258</v>
      </c>
      <c r="M27" s="3">
        <v>1.068363855566373</v>
      </c>
    </row>
    <row r="28" spans="1:13" ht="18" customHeight="1" x14ac:dyDescent="0.2">
      <c r="A28" s="16">
        <v>5</v>
      </c>
      <c r="B28" s="17">
        <v>751</v>
      </c>
      <c r="C28" s="17">
        <v>925</v>
      </c>
      <c r="D28" s="18">
        <v>0.39351885743066439</v>
      </c>
      <c r="E28" s="18">
        <v>0.40206299804223061</v>
      </c>
      <c r="F28" s="10">
        <v>0.39779092773644747</v>
      </c>
      <c r="G28" s="19">
        <v>24575.5</v>
      </c>
      <c r="H28" s="19">
        <v>2184.5</v>
      </c>
      <c r="I28" s="7">
        <v>0.41755262280871042</v>
      </c>
      <c r="J28" s="13">
        <v>0.42442324112358443</v>
      </c>
      <c r="K28" s="18">
        <v>21.135768032156779</v>
      </c>
      <c r="L28" s="18">
        <v>2.4478450621910568</v>
      </c>
      <c r="M28" s="18">
        <v>1.073663433077227</v>
      </c>
    </row>
    <row r="29" spans="1:13" ht="18" customHeight="1" x14ac:dyDescent="0.2">
      <c r="A29" s="20">
        <v>6</v>
      </c>
      <c r="B29" s="2">
        <v>926</v>
      </c>
      <c r="C29" s="2">
        <v>1100</v>
      </c>
      <c r="D29" s="3">
        <v>0.40598551167776209</v>
      </c>
      <c r="E29" s="3">
        <v>0.38483230012149688</v>
      </c>
      <c r="F29" s="10">
        <v>0.39540890589962951</v>
      </c>
      <c r="G29" s="21">
        <v>24708.5</v>
      </c>
      <c r="H29" s="21">
        <v>2174.5</v>
      </c>
      <c r="I29" s="7">
        <v>0.40959844890426461</v>
      </c>
      <c r="J29" s="13">
        <v>0.40913330262987729</v>
      </c>
      <c r="K29" s="3">
        <v>20.972576377963449</v>
      </c>
      <c r="L29" s="3">
        <v>2.4351492757057671</v>
      </c>
      <c r="M29" s="3">
        <v>1.1352961192207931</v>
      </c>
    </row>
    <row r="30" spans="1:13" ht="18" customHeight="1" x14ac:dyDescent="0.2">
      <c r="A30" s="16">
        <v>7</v>
      </c>
      <c r="B30" s="17">
        <v>1101</v>
      </c>
      <c r="C30" s="17">
        <v>1275</v>
      </c>
      <c r="D30" s="18">
        <v>0.3879636506326794</v>
      </c>
      <c r="E30" s="18">
        <v>0.40845689876332292</v>
      </c>
      <c r="F30" s="10">
        <v>0.39821027469800108</v>
      </c>
      <c r="G30" s="19">
        <v>24684.5</v>
      </c>
      <c r="H30" s="19">
        <v>2185.5</v>
      </c>
      <c r="I30" s="7">
        <v>0.41336317451615001</v>
      </c>
      <c r="J30" s="13">
        <v>0.41212258869125268</v>
      </c>
      <c r="K30" s="18">
        <v>20.37389617736741</v>
      </c>
      <c r="L30" s="18">
        <v>2.492433748494471</v>
      </c>
      <c r="M30" s="18">
        <v>1.087184106687572</v>
      </c>
    </row>
    <row r="31" spans="1:13" ht="18" customHeight="1" x14ac:dyDescent="0.2">
      <c r="A31" s="20">
        <v>8</v>
      </c>
      <c r="B31" s="2">
        <v>1276</v>
      </c>
      <c r="C31" s="2">
        <v>1450</v>
      </c>
      <c r="D31" s="3">
        <v>0.40945167057414111</v>
      </c>
      <c r="E31" s="3">
        <v>0.36309470908290192</v>
      </c>
      <c r="F31" s="10">
        <v>0.38627318982852149</v>
      </c>
      <c r="G31" s="21">
        <v>24597.5</v>
      </c>
      <c r="H31" s="21">
        <v>2179.5</v>
      </c>
      <c r="I31" s="7">
        <v>0.41617035146420422</v>
      </c>
      <c r="J31" s="13">
        <v>0.4115495023864047</v>
      </c>
      <c r="K31" s="3">
        <v>19.340115177575061</v>
      </c>
      <c r="L31" s="3">
        <v>2.4403811096580301</v>
      </c>
      <c r="M31" s="3">
        <v>1.0821433837240231</v>
      </c>
    </row>
    <row r="32" spans="1:13" ht="18" customHeight="1" x14ac:dyDescent="0.2">
      <c r="A32" s="16">
        <v>9</v>
      </c>
      <c r="B32" s="17">
        <v>1451</v>
      </c>
      <c r="C32" s="17">
        <v>1625</v>
      </c>
      <c r="D32" s="18">
        <v>0.41583239331328198</v>
      </c>
      <c r="E32" s="18">
        <v>0.40580186020186171</v>
      </c>
      <c r="F32" s="10">
        <v>0.41081712675757193</v>
      </c>
      <c r="G32" s="19">
        <v>24786.5</v>
      </c>
      <c r="H32" s="19">
        <v>2213</v>
      </c>
      <c r="I32" s="7">
        <v>0.42052162948587568</v>
      </c>
      <c r="J32" s="13">
        <v>0.40664037739442482</v>
      </c>
      <c r="K32" s="18">
        <v>22.862021043559459</v>
      </c>
      <c r="L32" s="18">
        <v>2.4726030134846049</v>
      </c>
      <c r="M32" s="18">
        <v>1.1601888454190179</v>
      </c>
    </row>
    <row r="33" spans="1:13" ht="18" customHeight="1" x14ac:dyDescent="0.2">
      <c r="A33" s="20">
        <v>10</v>
      </c>
      <c r="B33" s="2">
        <v>1626</v>
      </c>
      <c r="C33" s="2">
        <v>1800</v>
      </c>
      <c r="D33" s="3">
        <v>0.38993652172238791</v>
      </c>
      <c r="E33" s="3">
        <v>0.40648870817532101</v>
      </c>
      <c r="F33" s="10">
        <v>0.39821261494885452</v>
      </c>
      <c r="G33" s="21">
        <v>24722</v>
      </c>
      <c r="H33" s="21">
        <v>2215.5</v>
      </c>
      <c r="I33" s="7">
        <v>0.38515572761929351</v>
      </c>
      <c r="J33" s="13">
        <v>0.40084287108363109</v>
      </c>
      <c r="K33" s="3">
        <v>22.292672356122861</v>
      </c>
      <c r="L33" s="3">
        <v>2.3896632297473941</v>
      </c>
      <c r="M33" s="3">
        <v>1.048491869209933</v>
      </c>
    </row>
    <row r="34" spans="1:13" ht="18" customHeight="1" x14ac:dyDescent="0.2">
      <c r="A34" s="16">
        <v>11</v>
      </c>
      <c r="B34" s="17">
        <v>1801</v>
      </c>
      <c r="C34" s="17">
        <v>1975</v>
      </c>
      <c r="D34" s="18">
        <v>0.38451465492169867</v>
      </c>
      <c r="E34" s="18">
        <v>0.39269744590193179</v>
      </c>
      <c r="F34" s="10">
        <v>0.38860605041181528</v>
      </c>
      <c r="G34" s="19">
        <v>24703</v>
      </c>
      <c r="H34" s="19">
        <v>2187</v>
      </c>
      <c r="I34" s="7">
        <v>0.39800675900902199</v>
      </c>
      <c r="J34" s="13">
        <v>0.40004968750261399</v>
      </c>
      <c r="K34" s="18">
        <v>20.12021216075966</v>
      </c>
      <c r="L34" s="18">
        <v>2.4195859450942132</v>
      </c>
      <c r="M34" s="18">
        <v>1.054554609702208</v>
      </c>
    </row>
    <row r="35" spans="1:13" ht="18" customHeight="1" x14ac:dyDescent="0.2">
      <c r="A35" s="20">
        <v>12</v>
      </c>
      <c r="B35" s="2">
        <v>1976</v>
      </c>
      <c r="C35" s="2">
        <v>2150</v>
      </c>
      <c r="D35" s="3">
        <v>0.39658653990486631</v>
      </c>
      <c r="E35" s="3">
        <v>0.41255153347403561</v>
      </c>
      <c r="F35" s="10">
        <v>0.40456903668945088</v>
      </c>
      <c r="G35" s="21">
        <v>24765</v>
      </c>
      <c r="H35" s="21">
        <v>2204</v>
      </c>
      <c r="I35" s="7">
        <v>0.39799523440501478</v>
      </c>
      <c r="J35" s="13">
        <v>0.40495115332130038</v>
      </c>
      <c r="K35" s="3">
        <v>22.857664975359441</v>
      </c>
      <c r="L35" s="3">
        <v>2.416603563667945</v>
      </c>
      <c r="M35" s="3">
        <v>1.1214219302776589</v>
      </c>
    </row>
    <row r="36" spans="1:13" ht="18" customHeight="1" x14ac:dyDescent="0.2">
      <c r="A36" s="5" t="s">
        <v>52</v>
      </c>
      <c r="B36" s="22"/>
      <c r="C36" s="22"/>
      <c r="D36" s="23">
        <v>0.39153255258446529</v>
      </c>
      <c r="E36" s="23">
        <v>0.40884070758878183</v>
      </c>
      <c r="F36" s="23">
        <v>0.40018663008662358</v>
      </c>
      <c r="G36" s="24">
        <v>24709.208333333328</v>
      </c>
      <c r="H36" s="24">
        <v>2189.208333333333</v>
      </c>
      <c r="I36" s="23">
        <v>0.40460050250496638</v>
      </c>
      <c r="J36" s="25">
        <v>0.41040478612402181</v>
      </c>
      <c r="K36" s="23">
        <v>21.894930040109401</v>
      </c>
      <c r="L36" s="23">
        <v>2.4287369900594662</v>
      </c>
      <c r="M36" s="23">
        <v>1.0858020681160849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"/>
  <sheetViews>
    <sheetView topLeftCell="B1" zoomScale="136" workbookViewId="0">
      <pane ySplit="23" topLeftCell="A24" activePane="bottomLeft" state="frozen"/>
      <selection pane="bottomLeft" sqref="A1:M1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9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45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540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590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6377.625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562.5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63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64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0.38473003306280901</v>
      </c>
      <c r="C16" s="6">
        <v>7.8248465322548267E-4</v>
      </c>
      <c r="D16" s="3">
        <v>2.7972927147967241E-2</v>
      </c>
      <c r="E16" s="7">
        <v>1.5827173478522659E-2</v>
      </c>
      <c r="F16" s="8">
        <v>0.36890285958428631</v>
      </c>
      <c r="G16" s="8">
        <v>0.40055720654133159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0.3988984175476718</v>
      </c>
      <c r="C17" s="6">
        <v>4.2841279012861529E-4</v>
      </c>
      <c r="D17" s="3">
        <v>2.069813494324103E-2</v>
      </c>
      <c r="E17" s="7">
        <v>1.1711072305579341E-2</v>
      </c>
      <c r="F17" s="8">
        <v>0.38718734524209247</v>
      </c>
      <c r="G17" s="8">
        <v>0.41060948985325108</v>
      </c>
      <c r="H17" s="11">
        <v>0.45249687854879522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0.40053230791336331</v>
      </c>
      <c r="C18" s="6">
        <v>3.3111737512918972E-4</v>
      </c>
      <c r="D18" s="3">
        <v>1.8196630873026729E-2</v>
      </c>
      <c r="E18" s="7">
        <v>1.029571313822852E-2</v>
      </c>
      <c r="F18" s="8">
        <v>0.39023659477513478</v>
      </c>
      <c r="G18" s="8">
        <v>0.41082802105159177</v>
      </c>
      <c r="H18" s="12">
        <v>0.57683850569555628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0.40607396877623558</v>
      </c>
      <c r="C19" s="6">
        <v>2.2048562956102999E-4</v>
      </c>
      <c r="D19" s="3">
        <v>1.4848758519183681E-2</v>
      </c>
      <c r="E19" s="7">
        <v>8.4014760336188002E-3</v>
      </c>
      <c r="F19" s="8">
        <v>0.39767249274261679</v>
      </c>
      <c r="G19" s="8">
        <v>0.41447544480985438</v>
      </c>
      <c r="H19" s="14">
        <v>0.7182237010628062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95</v>
      </c>
      <c r="D24" s="18">
        <v>0.37659097821505999</v>
      </c>
      <c r="E24" s="18">
        <v>0.49898648648339039</v>
      </c>
      <c r="F24" s="10">
        <v>0.43778873234922522</v>
      </c>
      <c r="G24" s="19">
        <v>6442</v>
      </c>
      <c r="H24" s="19">
        <v>564</v>
      </c>
      <c r="I24" s="7">
        <v>0.38296324193717401</v>
      </c>
      <c r="J24" s="13">
        <v>0.41612712903709043</v>
      </c>
      <c r="K24" s="18">
        <v>23.727291873246209</v>
      </c>
      <c r="L24" s="18">
        <v>2.66899366936198</v>
      </c>
      <c r="M24" s="18">
        <v>0.94362687463492023</v>
      </c>
    </row>
    <row r="25" spans="1:13" ht="18" customHeight="1" x14ac:dyDescent="0.2">
      <c r="A25" s="20">
        <v>2</v>
      </c>
      <c r="B25" s="2">
        <v>96</v>
      </c>
      <c r="C25" s="2">
        <v>140</v>
      </c>
      <c r="D25" s="3">
        <v>0.37983100289227351</v>
      </c>
      <c r="E25" s="3">
        <v>0.4067321725142945</v>
      </c>
      <c r="F25" s="10">
        <v>0.39328158770328397</v>
      </c>
      <c r="G25" s="21">
        <v>6377</v>
      </c>
      <c r="H25" s="21">
        <v>550</v>
      </c>
      <c r="I25" s="7">
        <v>0.39073957106713092</v>
      </c>
      <c r="J25" s="13">
        <v>0.40036554884672892</v>
      </c>
      <c r="K25" s="3">
        <v>15.42647014170603</v>
      </c>
      <c r="L25" s="3">
        <v>2.7131162460238749</v>
      </c>
      <c r="M25" s="3">
        <v>0.81977640776249827</v>
      </c>
    </row>
    <row r="26" spans="1:13" ht="18" customHeight="1" x14ac:dyDescent="0.2">
      <c r="A26" s="16">
        <v>3</v>
      </c>
      <c r="B26" s="17">
        <v>141</v>
      </c>
      <c r="C26" s="17">
        <v>185</v>
      </c>
      <c r="D26" s="18">
        <v>0.3870306114916684</v>
      </c>
      <c r="E26" s="18">
        <v>0.41012749459684328</v>
      </c>
      <c r="F26" s="10">
        <v>0.39857905304425578</v>
      </c>
      <c r="G26" s="19">
        <v>6300.5</v>
      </c>
      <c r="H26" s="19">
        <v>549</v>
      </c>
      <c r="I26" s="7">
        <v>0.43515294407054672</v>
      </c>
      <c r="J26" s="13">
        <v>0.43097376395138082</v>
      </c>
      <c r="K26" s="18">
        <v>17.872197372820519</v>
      </c>
      <c r="L26" s="18">
        <v>2.6297723324257749</v>
      </c>
      <c r="M26" s="18">
        <v>0.82197964283401448</v>
      </c>
    </row>
    <row r="27" spans="1:13" ht="18" customHeight="1" x14ac:dyDescent="0.2">
      <c r="A27" s="20">
        <v>4</v>
      </c>
      <c r="B27" s="2">
        <v>186</v>
      </c>
      <c r="C27" s="2">
        <v>230</v>
      </c>
      <c r="D27" s="3">
        <v>0.37724805564740832</v>
      </c>
      <c r="E27" s="3">
        <v>0.40958125223607611</v>
      </c>
      <c r="F27" s="10">
        <v>0.39341465394174219</v>
      </c>
      <c r="G27" s="21">
        <v>6371</v>
      </c>
      <c r="H27" s="21">
        <v>575.5</v>
      </c>
      <c r="I27" s="7">
        <v>0.38234352614587902</v>
      </c>
      <c r="J27" s="13">
        <v>0.38840198234661161</v>
      </c>
      <c r="K27" s="3">
        <v>17.423243854071909</v>
      </c>
      <c r="L27" s="3">
        <v>2.6073438218646841</v>
      </c>
      <c r="M27" s="3">
        <v>0.85148807854068975</v>
      </c>
    </row>
    <row r="28" spans="1:13" ht="18" customHeight="1" x14ac:dyDescent="0.2">
      <c r="A28" s="16">
        <v>5</v>
      </c>
      <c r="B28" s="17">
        <v>231</v>
      </c>
      <c r="C28" s="17">
        <v>275</v>
      </c>
      <c r="D28" s="18">
        <v>0.37212747173090721</v>
      </c>
      <c r="E28" s="18">
        <v>0.40603896562339808</v>
      </c>
      <c r="F28" s="10">
        <v>0.38908321867715268</v>
      </c>
      <c r="G28" s="19">
        <v>6362</v>
      </c>
      <c r="H28" s="19">
        <v>567.5</v>
      </c>
      <c r="I28" s="7">
        <v>0.38038849137875252</v>
      </c>
      <c r="J28" s="13">
        <v>0.39138778362260329</v>
      </c>
      <c r="K28" s="18">
        <v>14.175457206020409</v>
      </c>
      <c r="L28" s="18">
        <v>2.7423494749147088</v>
      </c>
      <c r="M28" s="18">
        <v>0.86378448351491177</v>
      </c>
    </row>
    <row r="29" spans="1:13" ht="18" customHeight="1" x14ac:dyDescent="0.2">
      <c r="A29" s="20">
        <v>6</v>
      </c>
      <c r="B29" s="2">
        <v>276</v>
      </c>
      <c r="C29" s="2">
        <v>320</v>
      </c>
      <c r="D29" s="3">
        <v>0.34173977353210921</v>
      </c>
      <c r="E29" s="3">
        <v>0.44661916072834312</v>
      </c>
      <c r="F29" s="10">
        <v>0.39417946713022622</v>
      </c>
      <c r="G29" s="21">
        <v>6382</v>
      </c>
      <c r="H29" s="21">
        <v>544.5</v>
      </c>
      <c r="I29" s="7">
        <v>0.39677342804303029</v>
      </c>
      <c r="J29" s="13">
        <v>0.40267304909175239</v>
      </c>
      <c r="K29" s="3">
        <v>17.574677227713249</v>
      </c>
      <c r="L29" s="3">
        <v>2.6061146384016829</v>
      </c>
      <c r="M29" s="3">
        <v>0.86611053865066623</v>
      </c>
    </row>
    <row r="30" spans="1:13" ht="18" customHeight="1" x14ac:dyDescent="0.2">
      <c r="A30" s="16">
        <v>7</v>
      </c>
      <c r="B30" s="17">
        <v>321</v>
      </c>
      <c r="C30" s="17">
        <v>365</v>
      </c>
      <c r="D30" s="18">
        <v>0.37035696285410552</v>
      </c>
      <c r="E30" s="18">
        <v>0.39215806822962612</v>
      </c>
      <c r="F30" s="10">
        <v>0.38125751554186582</v>
      </c>
      <c r="G30" s="19">
        <v>6315.5</v>
      </c>
      <c r="H30" s="19">
        <v>566</v>
      </c>
      <c r="I30" s="7">
        <v>0.39814673327682981</v>
      </c>
      <c r="J30" s="13">
        <v>0.39943820848760492</v>
      </c>
      <c r="K30" s="18">
        <v>14.64792887450575</v>
      </c>
      <c r="L30" s="18">
        <v>2.6466071644568419</v>
      </c>
      <c r="M30" s="18">
        <v>0.91174132857130752</v>
      </c>
    </row>
    <row r="31" spans="1:13" ht="18" customHeight="1" x14ac:dyDescent="0.2">
      <c r="A31" s="20">
        <v>8</v>
      </c>
      <c r="B31" s="2">
        <v>366</v>
      </c>
      <c r="C31" s="2">
        <v>410</v>
      </c>
      <c r="D31" s="3">
        <v>0.38887317567469959</v>
      </c>
      <c r="E31" s="3">
        <v>0.41285438191000712</v>
      </c>
      <c r="F31" s="10">
        <v>0.40086377879235341</v>
      </c>
      <c r="G31" s="21">
        <v>6312.5</v>
      </c>
      <c r="H31" s="21">
        <v>547.5</v>
      </c>
      <c r="I31" s="7">
        <v>0.41578780753908628</v>
      </c>
      <c r="J31" s="13">
        <v>0.43020033486099679</v>
      </c>
      <c r="K31" s="3">
        <v>17.71147677019918</v>
      </c>
      <c r="L31" s="3">
        <v>2.658944896441938</v>
      </c>
      <c r="M31" s="3">
        <v>0.88219851057410192</v>
      </c>
    </row>
    <row r="32" spans="1:13" ht="18" customHeight="1" x14ac:dyDescent="0.2">
      <c r="A32" s="16">
        <v>9</v>
      </c>
      <c r="B32" s="17">
        <v>411</v>
      </c>
      <c r="C32" s="17">
        <v>455</v>
      </c>
      <c r="D32" s="18">
        <v>0.38419077002679569</v>
      </c>
      <c r="E32" s="18">
        <v>0.3849934458421661</v>
      </c>
      <c r="F32" s="10">
        <v>0.3845921079344809</v>
      </c>
      <c r="G32" s="19">
        <v>6345</v>
      </c>
      <c r="H32" s="19">
        <v>539</v>
      </c>
      <c r="I32" s="7">
        <v>0.41051607409175761</v>
      </c>
      <c r="J32" s="13">
        <v>0.40808915480346192</v>
      </c>
      <c r="K32" s="18">
        <v>16.12219862231316</v>
      </c>
      <c r="L32" s="18">
        <v>2.5976397595006939</v>
      </c>
      <c r="M32" s="18">
        <v>0.7895802109807023</v>
      </c>
    </row>
    <row r="33" spans="1:13" ht="18" customHeight="1" x14ac:dyDescent="0.2">
      <c r="A33" s="20">
        <v>10</v>
      </c>
      <c r="B33" s="2">
        <v>456</v>
      </c>
      <c r="C33" s="2">
        <v>500</v>
      </c>
      <c r="D33" s="3">
        <v>0.45972438766385543</v>
      </c>
      <c r="E33" s="3">
        <v>0.4272888038250241</v>
      </c>
      <c r="F33" s="10">
        <v>0.44350659574443968</v>
      </c>
      <c r="G33" s="21">
        <v>6416</v>
      </c>
      <c r="H33" s="21">
        <v>584.5</v>
      </c>
      <c r="I33" s="7">
        <v>0.4285749433710363</v>
      </c>
      <c r="J33" s="13">
        <v>0.41897428750265792</v>
      </c>
      <c r="K33" s="3">
        <v>23.48316230508177</v>
      </c>
      <c r="L33" s="3">
        <v>2.7335328096420062</v>
      </c>
      <c r="M33" s="3">
        <v>0.88169309247379257</v>
      </c>
    </row>
    <row r="34" spans="1:13" ht="18" customHeight="1" x14ac:dyDescent="0.2">
      <c r="A34" s="16">
        <v>11</v>
      </c>
      <c r="B34" s="17">
        <v>501</v>
      </c>
      <c r="C34" s="17">
        <v>545</v>
      </c>
      <c r="D34" s="18">
        <v>0.4061770629334121</v>
      </c>
      <c r="E34" s="18">
        <v>0.38019937084758582</v>
      </c>
      <c r="F34" s="10">
        <v>0.39318821689049899</v>
      </c>
      <c r="G34" s="19">
        <v>6340</v>
      </c>
      <c r="H34" s="19">
        <v>585.5</v>
      </c>
      <c r="I34" s="7">
        <v>0.38832365976684768</v>
      </c>
      <c r="J34" s="13">
        <v>0.39270375944764252</v>
      </c>
      <c r="K34" s="18">
        <v>14.38695148978943</v>
      </c>
      <c r="L34" s="18">
        <v>2.7679644079186292</v>
      </c>
      <c r="M34" s="18">
        <v>0.92684542864452157</v>
      </c>
    </row>
    <row r="35" spans="1:13" ht="18" customHeight="1" x14ac:dyDescent="0.2">
      <c r="A35" s="20">
        <v>12</v>
      </c>
      <c r="B35" s="2">
        <v>546</v>
      </c>
      <c r="C35" s="2">
        <v>590</v>
      </c>
      <c r="D35" s="3">
        <v>0.37287014409141322</v>
      </c>
      <c r="E35" s="3">
        <v>0.38122202155366097</v>
      </c>
      <c r="F35" s="10">
        <v>0.37704608282253721</v>
      </c>
      <c r="G35" s="21">
        <v>6370</v>
      </c>
      <c r="H35" s="21">
        <v>537</v>
      </c>
      <c r="I35" s="7">
        <v>0.39667727427228783</v>
      </c>
      <c r="J35" s="13">
        <v>0.3935526233162962</v>
      </c>
      <c r="K35" s="3">
        <v>14.037872150319011</v>
      </c>
      <c r="L35" s="3">
        <v>2.641385880207173</v>
      </c>
      <c r="M35" s="3">
        <v>0.75713130433239439</v>
      </c>
    </row>
    <row r="36" spans="1:13" ht="18" customHeight="1" x14ac:dyDescent="0.2">
      <c r="A36" s="5" t="s">
        <v>52</v>
      </c>
      <c r="B36" s="22"/>
      <c r="C36" s="22"/>
      <c r="D36" s="23">
        <v>0.38473003306280901</v>
      </c>
      <c r="E36" s="23">
        <v>0.4130668020325346</v>
      </c>
      <c r="F36" s="23">
        <v>0.3988984175476718</v>
      </c>
      <c r="G36" s="24">
        <v>6361.125</v>
      </c>
      <c r="H36" s="24">
        <v>559.16666666666663</v>
      </c>
      <c r="I36" s="23">
        <v>0.40053230791336331</v>
      </c>
      <c r="J36" s="25">
        <v>0.40607396877623558</v>
      </c>
      <c r="K36" s="23">
        <v>17.215743990648889</v>
      </c>
      <c r="L36" s="23">
        <v>2.667813758429999</v>
      </c>
      <c r="M36" s="23">
        <v>0.85966299179287686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"/>
  <sheetViews>
    <sheetView workbookViewId="0">
      <pane ySplit="23" topLeftCell="A24" activePane="bottomLeft" state="frozen"/>
      <selection pane="bottomLeft" sqref="A1:M1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65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4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20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240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290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2834.5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250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66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67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0.45084346167521339</v>
      </c>
      <c r="C16" s="6">
        <v>3.81631374765502E-4</v>
      </c>
      <c r="D16" s="3">
        <v>1.9535387755698679E-2</v>
      </c>
      <c r="E16" s="7">
        <v>1.1053186151886831E-2</v>
      </c>
      <c r="F16" s="8">
        <v>0.43979027552332661</v>
      </c>
      <c r="G16" s="8">
        <v>0.46189664782710033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0.46205643077810249</v>
      </c>
      <c r="C17" s="6">
        <v>2.56542538398368E-4</v>
      </c>
      <c r="D17" s="3">
        <v>1.6016945351669521E-2</v>
      </c>
      <c r="E17" s="7">
        <v>9.0624399561742876E-3</v>
      </c>
      <c r="F17" s="8">
        <v>0.45299399082192821</v>
      </c>
      <c r="G17" s="8">
        <v>0.47111887073427677</v>
      </c>
      <c r="H17" s="11">
        <v>0.32777398463110208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0.45695616135519468</v>
      </c>
      <c r="C18" s="6">
        <v>2.019710476013689E-4</v>
      </c>
      <c r="D18" s="3">
        <v>1.4211651825223159E-2</v>
      </c>
      <c r="E18" s="7">
        <v>8.0409989867833952E-3</v>
      </c>
      <c r="F18" s="8">
        <v>0.44891516236841128</v>
      </c>
      <c r="G18" s="8">
        <v>0.46499716034197808</v>
      </c>
      <c r="H18" s="12">
        <v>0.47076927905764437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0.46279375503440262</v>
      </c>
      <c r="C19" s="6">
        <v>1.7367077479700139E-4</v>
      </c>
      <c r="D19" s="3">
        <v>1.3178420800573999E-2</v>
      </c>
      <c r="E19" s="7">
        <v>7.4563935007714507E-3</v>
      </c>
      <c r="F19" s="8">
        <v>0.45533736153363108</v>
      </c>
      <c r="G19" s="8">
        <v>0.470250148535174</v>
      </c>
      <c r="H19" s="14">
        <v>0.54492532249552195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70</v>
      </c>
      <c r="D24" s="18">
        <v>0.46552640678518142</v>
      </c>
      <c r="E24" s="18">
        <v>0.50106946802802865</v>
      </c>
      <c r="F24" s="10">
        <v>0.48329793740660498</v>
      </c>
      <c r="G24" s="19">
        <v>2833</v>
      </c>
      <c r="H24" s="19">
        <v>247</v>
      </c>
      <c r="I24" s="7">
        <v>0.46118754770512188</v>
      </c>
      <c r="J24" s="13">
        <v>0.48565731631694498</v>
      </c>
      <c r="K24" s="18">
        <v>17.358281613985479</v>
      </c>
      <c r="L24" s="18">
        <v>3.4197734930530799</v>
      </c>
      <c r="M24" s="18">
        <v>0.87476883054296839</v>
      </c>
    </row>
    <row r="25" spans="1:13" ht="18" customHeight="1" x14ac:dyDescent="0.2">
      <c r="A25" s="20">
        <v>2</v>
      </c>
      <c r="B25" s="2">
        <v>71</v>
      </c>
      <c r="C25" s="2">
        <v>90</v>
      </c>
      <c r="D25" s="3">
        <v>0.42273967895889819</v>
      </c>
      <c r="E25" s="3">
        <v>0.50469086749919589</v>
      </c>
      <c r="F25" s="10">
        <v>0.46371527322904699</v>
      </c>
      <c r="G25" s="21">
        <v>2893</v>
      </c>
      <c r="H25" s="21">
        <v>252.5</v>
      </c>
      <c r="I25" s="7">
        <v>0.42486372600596339</v>
      </c>
      <c r="J25" s="13">
        <v>0.44583772049255571</v>
      </c>
      <c r="K25" s="3">
        <v>19.472507088310849</v>
      </c>
      <c r="L25" s="3">
        <v>3.1302674364733432</v>
      </c>
      <c r="M25" s="3">
        <v>0.82656487301656734</v>
      </c>
    </row>
    <row r="26" spans="1:13" ht="18" customHeight="1" x14ac:dyDescent="0.2">
      <c r="A26" s="16">
        <v>3</v>
      </c>
      <c r="B26" s="17">
        <v>91</v>
      </c>
      <c r="C26" s="17">
        <v>110</v>
      </c>
      <c r="D26" s="18">
        <v>0.46179133571152048</v>
      </c>
      <c r="E26" s="18">
        <v>0.47667200795214232</v>
      </c>
      <c r="F26" s="10">
        <v>0.46923167183183129</v>
      </c>
      <c r="G26" s="19">
        <v>2855</v>
      </c>
      <c r="H26" s="19">
        <v>240.5</v>
      </c>
      <c r="I26" s="7">
        <v>0.47076701398489562</v>
      </c>
      <c r="J26" s="13">
        <v>0.46968534507076681</v>
      </c>
      <c r="K26" s="18">
        <v>17.000958254416421</v>
      </c>
      <c r="L26" s="18">
        <v>3.3123194257141741</v>
      </c>
      <c r="M26" s="18">
        <v>0.78473414429005439</v>
      </c>
    </row>
    <row r="27" spans="1:13" ht="18" customHeight="1" x14ac:dyDescent="0.2">
      <c r="A27" s="20">
        <v>4</v>
      </c>
      <c r="B27" s="2">
        <v>111</v>
      </c>
      <c r="C27" s="2">
        <v>130</v>
      </c>
      <c r="D27" s="3">
        <v>0.46920189630951581</v>
      </c>
      <c r="E27" s="3">
        <v>0.46610802239669552</v>
      </c>
      <c r="F27" s="10">
        <v>0.46765495935310558</v>
      </c>
      <c r="G27" s="21">
        <v>2812.5</v>
      </c>
      <c r="H27" s="21">
        <v>250.5</v>
      </c>
      <c r="I27" s="7">
        <v>0.46911556500646279</v>
      </c>
      <c r="J27" s="13">
        <v>0.47344563750137147</v>
      </c>
      <c r="K27" s="3">
        <v>12.956060558394659</v>
      </c>
      <c r="L27" s="3">
        <v>3.514819961406809</v>
      </c>
      <c r="M27" s="3">
        <v>0.81934632805243401</v>
      </c>
    </row>
    <row r="28" spans="1:13" ht="18" customHeight="1" x14ac:dyDescent="0.2">
      <c r="A28" s="16">
        <v>5</v>
      </c>
      <c r="B28" s="17">
        <v>131</v>
      </c>
      <c r="C28" s="17">
        <v>150</v>
      </c>
      <c r="D28" s="18">
        <v>0.41872369504579632</v>
      </c>
      <c r="E28" s="18">
        <v>0.44037297827815891</v>
      </c>
      <c r="F28" s="10">
        <v>0.42954833666197761</v>
      </c>
      <c r="G28" s="19">
        <v>2781.5</v>
      </c>
      <c r="H28" s="19">
        <v>243</v>
      </c>
      <c r="I28" s="7">
        <v>0.44710868322331299</v>
      </c>
      <c r="J28" s="13">
        <v>0.44881101229244719</v>
      </c>
      <c r="K28" s="18">
        <v>11.9462882700658</v>
      </c>
      <c r="L28" s="18">
        <v>3.225955301204273</v>
      </c>
      <c r="M28" s="18">
        <v>0.84018084174819518</v>
      </c>
    </row>
    <row r="29" spans="1:13" ht="18" customHeight="1" x14ac:dyDescent="0.2">
      <c r="A29" s="20">
        <v>6</v>
      </c>
      <c r="B29" s="2">
        <v>151</v>
      </c>
      <c r="C29" s="2">
        <v>170</v>
      </c>
      <c r="D29" s="3">
        <v>0.44744418463348629</v>
      </c>
      <c r="E29" s="3">
        <v>0.49406686701187769</v>
      </c>
      <c r="F29" s="10">
        <v>0.47075552582268199</v>
      </c>
      <c r="G29" s="21">
        <v>2819.5</v>
      </c>
      <c r="H29" s="21">
        <v>248</v>
      </c>
      <c r="I29" s="7">
        <v>0.45777200185915118</v>
      </c>
      <c r="J29" s="13">
        <v>0.47621944336739619</v>
      </c>
      <c r="K29" s="3">
        <v>17.856193794947671</v>
      </c>
      <c r="L29" s="3">
        <v>3.2802179219605132</v>
      </c>
      <c r="M29" s="3">
        <v>0.85195973913978507</v>
      </c>
    </row>
    <row r="30" spans="1:13" ht="18" customHeight="1" x14ac:dyDescent="0.2">
      <c r="A30" s="16">
        <v>7</v>
      </c>
      <c r="B30" s="17">
        <v>171</v>
      </c>
      <c r="C30" s="17">
        <v>190</v>
      </c>
      <c r="D30" s="18">
        <v>0.43873616077032668</v>
      </c>
      <c r="E30" s="18">
        <v>0.43409594083678438</v>
      </c>
      <c r="F30" s="10">
        <v>0.43641605080355561</v>
      </c>
      <c r="G30" s="19">
        <v>2818.5</v>
      </c>
      <c r="H30" s="19">
        <v>235.5</v>
      </c>
      <c r="I30" s="7">
        <v>0.45665187637513671</v>
      </c>
      <c r="J30" s="13">
        <v>0.45025158945633698</v>
      </c>
      <c r="K30" s="18">
        <v>13.99161184768043</v>
      </c>
      <c r="L30" s="18">
        <v>3.1781938225348338</v>
      </c>
      <c r="M30" s="18">
        <v>0.72965550017120107</v>
      </c>
    </row>
    <row r="31" spans="1:13" ht="18" customHeight="1" x14ac:dyDescent="0.2">
      <c r="A31" s="20">
        <v>8</v>
      </c>
      <c r="B31" s="2">
        <v>191</v>
      </c>
      <c r="C31" s="2">
        <v>210</v>
      </c>
      <c r="D31" s="3">
        <v>0.47209780160187542</v>
      </c>
      <c r="E31" s="3">
        <v>0.47938007691294948</v>
      </c>
      <c r="F31" s="10">
        <v>0.47573893925741251</v>
      </c>
      <c r="G31" s="21">
        <v>2869.5</v>
      </c>
      <c r="H31" s="21">
        <v>256.5</v>
      </c>
      <c r="I31" s="7">
        <v>0.45895925211670391</v>
      </c>
      <c r="J31" s="13">
        <v>0.46180272339626061</v>
      </c>
      <c r="K31" s="3">
        <v>18.396777713654789</v>
      </c>
      <c r="L31" s="3">
        <v>3.296108790085206</v>
      </c>
      <c r="M31" s="3">
        <v>0.84639643506312101</v>
      </c>
    </row>
    <row r="32" spans="1:13" ht="18" customHeight="1" x14ac:dyDescent="0.2">
      <c r="A32" s="16">
        <v>9</v>
      </c>
      <c r="B32" s="17">
        <v>211</v>
      </c>
      <c r="C32" s="17">
        <v>230</v>
      </c>
      <c r="D32" s="18">
        <v>0.43329649034303491</v>
      </c>
      <c r="E32" s="18">
        <v>0.4791687328564776</v>
      </c>
      <c r="F32" s="10">
        <v>0.45623261159975631</v>
      </c>
      <c r="G32" s="19">
        <v>2807</v>
      </c>
      <c r="H32" s="19">
        <v>265</v>
      </c>
      <c r="I32" s="7">
        <v>0.44050785625090377</v>
      </c>
      <c r="J32" s="13">
        <v>0.45416321272594168</v>
      </c>
      <c r="K32" s="18">
        <v>14.06509540671353</v>
      </c>
      <c r="L32" s="18">
        <v>3.352606250466724</v>
      </c>
      <c r="M32" s="18">
        <v>0.81206339122122273</v>
      </c>
    </row>
    <row r="33" spans="1:13" ht="18" customHeight="1" x14ac:dyDescent="0.2">
      <c r="A33" s="20">
        <v>10</v>
      </c>
      <c r="B33" s="2">
        <v>231</v>
      </c>
      <c r="C33" s="2">
        <v>250</v>
      </c>
      <c r="D33" s="3">
        <v>0.46136739664435977</v>
      </c>
      <c r="E33" s="3">
        <v>0.46840032783818808</v>
      </c>
      <c r="F33" s="10">
        <v>0.46488386224127398</v>
      </c>
      <c r="G33" s="21">
        <v>2806</v>
      </c>
      <c r="H33" s="21">
        <v>244</v>
      </c>
      <c r="I33" s="7">
        <v>0.4773762361159028</v>
      </c>
      <c r="J33" s="13">
        <v>0.47668979548441348</v>
      </c>
      <c r="K33" s="3">
        <v>13.866875376701129</v>
      </c>
      <c r="L33" s="3">
        <v>3.4410864364196199</v>
      </c>
      <c r="M33" s="3">
        <v>0.76101818202302707</v>
      </c>
    </row>
    <row r="34" spans="1:13" ht="18" customHeight="1" x14ac:dyDescent="0.2">
      <c r="A34" s="16">
        <v>11</v>
      </c>
      <c r="B34" s="17">
        <v>251</v>
      </c>
      <c r="C34" s="17">
        <v>270</v>
      </c>
      <c r="D34" s="18">
        <v>0.47575583697875068</v>
      </c>
      <c r="E34" s="18">
        <v>0.47431158619128522</v>
      </c>
      <c r="F34" s="10">
        <v>0.47503371158501789</v>
      </c>
      <c r="G34" s="19">
        <v>2860.5</v>
      </c>
      <c r="H34" s="19">
        <v>263</v>
      </c>
      <c r="I34" s="7">
        <v>0.46359464234513731</v>
      </c>
      <c r="J34" s="13">
        <v>0.45939013157205599</v>
      </c>
      <c r="K34" s="18">
        <v>13.467623171385901</v>
      </c>
      <c r="L34" s="18">
        <v>3.5538235915123462</v>
      </c>
      <c r="M34" s="18">
        <v>0.85941681590676122</v>
      </c>
    </row>
    <row r="35" spans="1:13" ht="18" customHeight="1" x14ac:dyDescent="0.2">
      <c r="A35" s="20">
        <v>12</v>
      </c>
      <c r="B35" s="2">
        <v>271</v>
      </c>
      <c r="C35" s="2">
        <v>290</v>
      </c>
      <c r="D35" s="3">
        <v>0.44344065631981427</v>
      </c>
      <c r="E35" s="3">
        <v>0.46089592277011321</v>
      </c>
      <c r="F35" s="10">
        <v>0.4521682895449638</v>
      </c>
      <c r="G35" s="21">
        <v>2825</v>
      </c>
      <c r="H35" s="21">
        <v>255</v>
      </c>
      <c r="I35" s="7">
        <v>0.45556953527364452</v>
      </c>
      <c r="J35" s="13">
        <v>0.45157113273633892</v>
      </c>
      <c r="K35" s="3">
        <v>13.273586354903211</v>
      </c>
      <c r="L35" s="3">
        <v>3.358429622606288</v>
      </c>
      <c r="M35" s="3">
        <v>0.82905788060194507</v>
      </c>
    </row>
    <row r="36" spans="1:13" ht="18" customHeight="1" x14ac:dyDescent="0.2">
      <c r="A36" s="5" t="s">
        <v>52</v>
      </c>
      <c r="B36" s="22"/>
      <c r="C36" s="22"/>
      <c r="D36" s="23">
        <v>0.45084346167521339</v>
      </c>
      <c r="E36" s="23">
        <v>0.47326939988099143</v>
      </c>
      <c r="F36" s="23">
        <v>0.46205643077810249</v>
      </c>
      <c r="G36" s="24">
        <v>2831.75</v>
      </c>
      <c r="H36" s="24">
        <v>250.04166666666671</v>
      </c>
      <c r="I36" s="23">
        <v>0.45695616135519468</v>
      </c>
      <c r="J36" s="25">
        <v>0.46279375503440262</v>
      </c>
      <c r="K36" s="23">
        <v>15.30432162092999</v>
      </c>
      <c r="L36" s="23">
        <v>3.3386335044531008</v>
      </c>
      <c r="M36" s="23">
        <v>0.81959691348144037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workbookViewId="0">
      <pane ySplit="23" topLeftCell="A24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35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175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2100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2150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24801.875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2187.5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69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70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0.39543486005430878</v>
      </c>
      <c r="C16" s="6">
        <v>2.885156010187166E-4</v>
      </c>
      <c r="D16" s="3">
        <v>1.6985746996194089E-2</v>
      </c>
      <c r="E16" s="7">
        <v>9.6105910886267448E-3</v>
      </c>
      <c r="F16" s="8">
        <v>0.38582426896568212</v>
      </c>
      <c r="G16" s="8">
        <v>0.4050454511429355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0.40390498122101781</v>
      </c>
      <c r="C17" s="6">
        <v>1.246768582783738E-4</v>
      </c>
      <c r="D17" s="3">
        <v>1.116587919862891E-2</v>
      </c>
      <c r="E17" s="7">
        <v>6.3176908938459E-3</v>
      </c>
      <c r="F17" s="8">
        <v>0.39758729032717188</v>
      </c>
      <c r="G17" s="8">
        <v>0.41022267211486357</v>
      </c>
      <c r="H17" s="11">
        <v>0.56786788014875578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0.41038435468413043</v>
      </c>
      <c r="C18" s="6">
        <v>1.2236650056397501E-4</v>
      </c>
      <c r="D18" s="3">
        <v>1.1061939276816471E-2</v>
      </c>
      <c r="E18" s="7">
        <v>6.2588813468447014E-3</v>
      </c>
      <c r="F18" s="8">
        <v>0.40412547333728571</v>
      </c>
      <c r="G18" s="8">
        <v>0.41664323603097508</v>
      </c>
      <c r="H18" s="12">
        <v>0.57587561943994559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0.41407842547827828</v>
      </c>
      <c r="C19" s="6">
        <v>7.4204603792744138E-5</v>
      </c>
      <c r="D19" s="3">
        <v>8.6142094119393293E-3</v>
      </c>
      <c r="E19" s="7">
        <v>4.8739478003821998E-3</v>
      </c>
      <c r="F19" s="8">
        <v>0.40920447767789608</v>
      </c>
      <c r="G19" s="8">
        <v>0.41895237327866047</v>
      </c>
      <c r="H19" s="14">
        <v>0.74280557609108167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225</v>
      </c>
      <c r="D24" s="18">
        <v>0.38239585415994592</v>
      </c>
      <c r="E24" s="18">
        <v>0.48279355772340132</v>
      </c>
      <c r="F24" s="10">
        <v>0.4325947059416736</v>
      </c>
      <c r="G24" s="19">
        <v>24810.5</v>
      </c>
      <c r="H24" s="19">
        <v>2186</v>
      </c>
      <c r="I24" s="7">
        <v>0.40907981579908242</v>
      </c>
      <c r="J24" s="13">
        <v>0.43200945121722578</v>
      </c>
      <c r="K24" s="18">
        <v>27.545777669191128</v>
      </c>
      <c r="L24" s="18">
        <v>2.4176856926255379</v>
      </c>
      <c r="M24" s="18">
        <v>1.092616844891189</v>
      </c>
    </row>
    <row r="25" spans="1:13" ht="18" customHeight="1" x14ac:dyDescent="0.2">
      <c r="A25" s="20">
        <v>2</v>
      </c>
      <c r="B25" s="2">
        <v>226</v>
      </c>
      <c r="C25" s="2">
        <v>400</v>
      </c>
      <c r="D25" s="3">
        <v>0.35885821969682619</v>
      </c>
      <c r="E25" s="3">
        <v>0.43263856667900591</v>
      </c>
      <c r="F25" s="10">
        <v>0.39574839318791599</v>
      </c>
      <c r="G25" s="21">
        <v>24652.5</v>
      </c>
      <c r="H25" s="21">
        <v>2156.5</v>
      </c>
      <c r="I25" s="7">
        <v>0.40838139182788707</v>
      </c>
      <c r="J25" s="13">
        <v>0.42125040657217799</v>
      </c>
      <c r="K25" s="3">
        <v>21.098905301772721</v>
      </c>
      <c r="L25" s="3">
        <v>2.4314370403819909</v>
      </c>
      <c r="M25" s="3">
        <v>1.115222437206014</v>
      </c>
    </row>
    <row r="26" spans="1:13" ht="18" customHeight="1" x14ac:dyDescent="0.2">
      <c r="A26" s="16">
        <v>3</v>
      </c>
      <c r="B26" s="17">
        <v>401</v>
      </c>
      <c r="C26" s="17">
        <v>575</v>
      </c>
      <c r="D26" s="18">
        <v>0.40495374547413288</v>
      </c>
      <c r="E26" s="18">
        <v>0.39438924414151</v>
      </c>
      <c r="F26" s="10">
        <v>0.39967149480782149</v>
      </c>
      <c r="G26" s="19">
        <v>24752.5</v>
      </c>
      <c r="H26" s="19">
        <v>2192</v>
      </c>
      <c r="I26" s="7">
        <v>0.40417160236212851</v>
      </c>
      <c r="J26" s="13">
        <v>0.40412404959758208</v>
      </c>
      <c r="K26" s="18">
        <v>22.58152877434652</v>
      </c>
      <c r="L26" s="18">
        <v>2.3873186975018288</v>
      </c>
      <c r="M26" s="18">
        <v>1.0727931651081959</v>
      </c>
    </row>
    <row r="27" spans="1:13" ht="18" customHeight="1" x14ac:dyDescent="0.2">
      <c r="A27" s="20">
        <v>4</v>
      </c>
      <c r="B27" s="2">
        <v>576</v>
      </c>
      <c r="C27" s="2">
        <v>750</v>
      </c>
      <c r="D27" s="3">
        <v>0.3793380576551349</v>
      </c>
      <c r="E27" s="3">
        <v>0.42976011616816101</v>
      </c>
      <c r="F27" s="10">
        <v>0.40454908691164793</v>
      </c>
      <c r="G27" s="21">
        <v>24752</v>
      </c>
      <c r="H27" s="21">
        <v>2192.5</v>
      </c>
      <c r="I27" s="7">
        <v>0.39630423718891777</v>
      </c>
      <c r="J27" s="13">
        <v>0.40892417862172847</v>
      </c>
      <c r="K27" s="3">
        <v>23.277338093093309</v>
      </c>
      <c r="L27" s="3">
        <v>2.3939415272176889</v>
      </c>
      <c r="M27" s="3">
        <v>1.1077096800684909</v>
      </c>
    </row>
    <row r="28" spans="1:13" ht="18" customHeight="1" x14ac:dyDescent="0.2">
      <c r="A28" s="16">
        <v>5</v>
      </c>
      <c r="B28" s="17">
        <v>751</v>
      </c>
      <c r="C28" s="17">
        <v>925</v>
      </c>
      <c r="D28" s="18">
        <v>0.39618781985599688</v>
      </c>
      <c r="E28" s="18">
        <v>0.40347790261770661</v>
      </c>
      <c r="F28" s="10">
        <v>0.39983286123685169</v>
      </c>
      <c r="G28" s="19">
        <v>24576</v>
      </c>
      <c r="H28" s="19">
        <v>2184.5</v>
      </c>
      <c r="I28" s="7">
        <v>0.42379751788459608</v>
      </c>
      <c r="J28" s="13">
        <v>0.42656265896312251</v>
      </c>
      <c r="K28" s="18">
        <v>21.608517465917661</v>
      </c>
      <c r="L28" s="18">
        <v>2.440896601171791</v>
      </c>
      <c r="M28" s="18">
        <v>1.1116035060899101</v>
      </c>
    </row>
    <row r="29" spans="1:13" ht="18" customHeight="1" x14ac:dyDescent="0.2">
      <c r="A29" s="20">
        <v>6</v>
      </c>
      <c r="B29" s="2">
        <v>926</v>
      </c>
      <c r="C29" s="2">
        <v>1100</v>
      </c>
      <c r="D29" s="3">
        <v>0.41311767203908523</v>
      </c>
      <c r="E29" s="3">
        <v>0.38521252203136752</v>
      </c>
      <c r="F29" s="10">
        <v>0.39916509703522629</v>
      </c>
      <c r="G29" s="21">
        <v>24708</v>
      </c>
      <c r="H29" s="21">
        <v>2174.5</v>
      </c>
      <c r="I29" s="7">
        <v>0.41784912100849642</v>
      </c>
      <c r="J29" s="13">
        <v>0.41344379655923169</v>
      </c>
      <c r="K29" s="3">
        <v>21.309576299485929</v>
      </c>
      <c r="L29" s="3">
        <v>2.450901428701719</v>
      </c>
      <c r="M29" s="3">
        <v>1.1601471619649739</v>
      </c>
    </row>
    <row r="30" spans="1:13" ht="18" customHeight="1" x14ac:dyDescent="0.2">
      <c r="A30" s="16">
        <v>7</v>
      </c>
      <c r="B30" s="17">
        <v>1101</v>
      </c>
      <c r="C30" s="17">
        <v>1275</v>
      </c>
      <c r="D30" s="18">
        <v>0.39270375138107533</v>
      </c>
      <c r="E30" s="18">
        <v>0.41138904970635243</v>
      </c>
      <c r="F30" s="10">
        <v>0.40204640054371388</v>
      </c>
      <c r="G30" s="19">
        <v>24684</v>
      </c>
      <c r="H30" s="19">
        <v>2185.5</v>
      </c>
      <c r="I30" s="7">
        <v>0.42136528307276577</v>
      </c>
      <c r="J30" s="13">
        <v>0.41611275393234931</v>
      </c>
      <c r="K30" s="18">
        <v>20.85336976758823</v>
      </c>
      <c r="L30" s="18">
        <v>2.5012727959154839</v>
      </c>
      <c r="M30" s="18">
        <v>1.11545848489891</v>
      </c>
    </row>
    <row r="31" spans="1:13" ht="18" customHeight="1" x14ac:dyDescent="0.2">
      <c r="A31" s="20">
        <v>8</v>
      </c>
      <c r="B31" s="2">
        <v>1276</v>
      </c>
      <c r="C31" s="2">
        <v>1450</v>
      </c>
      <c r="D31" s="3">
        <v>0.41152795095179501</v>
      </c>
      <c r="E31" s="3">
        <v>0.36589408808486013</v>
      </c>
      <c r="F31" s="10">
        <v>0.38871101951832748</v>
      </c>
      <c r="G31" s="21">
        <v>24598.5</v>
      </c>
      <c r="H31" s="21">
        <v>2179.5</v>
      </c>
      <c r="I31" s="7">
        <v>0.41907116765377722</v>
      </c>
      <c r="J31" s="13">
        <v>0.41420719971002501</v>
      </c>
      <c r="K31" s="3">
        <v>19.843893870752581</v>
      </c>
      <c r="L31" s="3">
        <v>2.435333432588918</v>
      </c>
      <c r="M31" s="3">
        <v>1.1195688588241151</v>
      </c>
    </row>
    <row r="32" spans="1:13" ht="18" customHeight="1" x14ac:dyDescent="0.2">
      <c r="A32" s="16">
        <v>9</v>
      </c>
      <c r="B32" s="17">
        <v>1451</v>
      </c>
      <c r="C32" s="17">
        <v>1625</v>
      </c>
      <c r="D32" s="18">
        <v>0.41904646298480752</v>
      </c>
      <c r="E32" s="18">
        <v>0.40358067623853239</v>
      </c>
      <c r="F32" s="10">
        <v>0.41131356961166993</v>
      </c>
      <c r="G32" s="19">
        <v>24786.5</v>
      </c>
      <c r="H32" s="19">
        <v>2213</v>
      </c>
      <c r="I32" s="7">
        <v>0.4242822902658947</v>
      </c>
      <c r="J32" s="13">
        <v>0.40620103744197478</v>
      </c>
      <c r="K32" s="18">
        <v>23.142567885134479</v>
      </c>
      <c r="L32" s="18">
        <v>2.462041704087111</v>
      </c>
      <c r="M32" s="18">
        <v>1.1891939396073781</v>
      </c>
    </row>
    <row r="33" spans="1:13" ht="18" customHeight="1" x14ac:dyDescent="0.2">
      <c r="A33" s="20">
        <v>10</v>
      </c>
      <c r="B33" s="2">
        <v>1626</v>
      </c>
      <c r="C33" s="2">
        <v>1800</v>
      </c>
      <c r="D33" s="3">
        <v>0.39433419398905051</v>
      </c>
      <c r="E33" s="3">
        <v>0.41954868515505722</v>
      </c>
      <c r="F33" s="10">
        <v>0.40694143957205392</v>
      </c>
      <c r="G33" s="21">
        <v>24722</v>
      </c>
      <c r="H33" s="21">
        <v>2215.5</v>
      </c>
      <c r="I33" s="7">
        <v>0.3900196150072166</v>
      </c>
      <c r="J33" s="13">
        <v>0.40855652894939909</v>
      </c>
      <c r="K33" s="3">
        <v>22.754867068140769</v>
      </c>
      <c r="L33" s="3">
        <v>2.443462220355229</v>
      </c>
      <c r="M33" s="3">
        <v>1.0889853791771411</v>
      </c>
    </row>
    <row r="34" spans="1:13" ht="18" customHeight="1" x14ac:dyDescent="0.2">
      <c r="A34" s="16">
        <v>11</v>
      </c>
      <c r="B34" s="17">
        <v>1801</v>
      </c>
      <c r="C34" s="17">
        <v>1975</v>
      </c>
      <c r="D34" s="18">
        <v>0.38699917964238639</v>
      </c>
      <c r="E34" s="18">
        <v>0.40348465766931307</v>
      </c>
      <c r="F34" s="10">
        <v>0.39524191865584979</v>
      </c>
      <c r="G34" s="19">
        <v>24703</v>
      </c>
      <c r="H34" s="19">
        <v>2187</v>
      </c>
      <c r="I34" s="7">
        <v>0.40302167042586923</v>
      </c>
      <c r="J34" s="13">
        <v>0.40672336333154913</v>
      </c>
      <c r="K34" s="18">
        <v>20.565950375779931</v>
      </c>
      <c r="L34" s="18">
        <v>2.4554299263430091</v>
      </c>
      <c r="M34" s="18">
        <v>1.0918945253920671</v>
      </c>
    </row>
    <row r="35" spans="1:13" ht="18" customHeight="1" x14ac:dyDescent="0.2">
      <c r="A35" s="20">
        <v>12</v>
      </c>
      <c r="B35" s="2">
        <v>1976</v>
      </c>
      <c r="C35" s="2">
        <v>2150</v>
      </c>
      <c r="D35" s="3">
        <v>0.40575541282146838</v>
      </c>
      <c r="E35" s="3">
        <v>0.41633216243745241</v>
      </c>
      <c r="F35" s="10">
        <v>0.41104378762946042</v>
      </c>
      <c r="G35" s="21">
        <v>24765</v>
      </c>
      <c r="H35" s="21">
        <v>2204</v>
      </c>
      <c r="I35" s="7">
        <v>0.40726854371293231</v>
      </c>
      <c r="J35" s="13">
        <v>0.41082568084297422</v>
      </c>
      <c r="K35" s="3">
        <v>23.27860562197667</v>
      </c>
      <c r="L35" s="3">
        <v>2.452325930344966</v>
      </c>
      <c r="M35" s="3">
        <v>1.1631858767535841</v>
      </c>
    </row>
    <row r="36" spans="1:13" ht="18" customHeight="1" x14ac:dyDescent="0.2">
      <c r="A36" s="5" t="s">
        <v>52</v>
      </c>
      <c r="B36" s="22"/>
      <c r="C36" s="22"/>
      <c r="D36" s="23">
        <v>0.39543486005430878</v>
      </c>
      <c r="E36" s="23">
        <v>0.41237510238772668</v>
      </c>
      <c r="F36" s="23">
        <v>0.40390498122101781</v>
      </c>
      <c r="G36" s="24">
        <v>24709.208333333328</v>
      </c>
      <c r="H36" s="24">
        <v>2189.208333333333</v>
      </c>
      <c r="I36" s="23">
        <v>0.41038435468413043</v>
      </c>
      <c r="J36" s="25">
        <v>0.41407842547827828</v>
      </c>
      <c r="K36" s="23">
        <v>22.321741516098331</v>
      </c>
      <c r="L36" s="23">
        <v>2.439337249769606</v>
      </c>
      <c r="M36" s="23">
        <v>1.1190316549984971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>
      <pane ySplit="23" topLeftCell="A24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3" width="12" customWidth="1"/>
    <col min="4" max="7" width="14" customWidth="1"/>
    <col min="8" max="9" width="12" customWidth="1"/>
    <col min="10" max="13" width="14" customWidth="1"/>
  </cols>
  <sheetData>
    <row r="1" spans="1:13" ht="24" customHeight="1" x14ac:dyDescent="0.2">
      <c r="A1" s="36" t="s">
        <v>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7" customHeight="1" x14ac:dyDescent="0.2">
      <c r="A3" s="26" t="s">
        <v>2</v>
      </c>
      <c r="B3" s="27"/>
      <c r="C3" s="27"/>
      <c r="D3" s="28"/>
      <c r="E3" s="34">
        <v>50</v>
      </c>
      <c r="F3" s="27"/>
      <c r="G3" s="28"/>
      <c r="H3" s="33" t="s">
        <v>3</v>
      </c>
      <c r="I3" s="27"/>
      <c r="J3" s="27"/>
      <c r="K3" s="27"/>
      <c r="L3" s="27"/>
      <c r="M3" s="28"/>
    </row>
    <row r="4" spans="1:13" ht="17" customHeight="1" x14ac:dyDescent="0.2">
      <c r="A4" s="26" t="s">
        <v>4</v>
      </c>
      <c r="B4" s="27"/>
      <c r="C4" s="27"/>
      <c r="D4" s="28"/>
      <c r="E4" s="34">
        <v>4</v>
      </c>
      <c r="F4" s="27"/>
      <c r="G4" s="28"/>
      <c r="H4" s="33" t="s">
        <v>3</v>
      </c>
      <c r="I4" s="27"/>
      <c r="J4" s="27"/>
      <c r="K4" s="27"/>
      <c r="L4" s="27"/>
      <c r="M4" s="28"/>
    </row>
    <row r="5" spans="1:13" ht="17" customHeight="1" x14ac:dyDescent="0.2">
      <c r="A5" s="26" t="s">
        <v>5</v>
      </c>
      <c r="B5" s="27"/>
      <c r="C5" s="27"/>
      <c r="D5" s="28"/>
      <c r="E5" s="34">
        <v>20</v>
      </c>
      <c r="F5" s="27"/>
      <c r="G5" s="28"/>
      <c r="H5" s="33" t="s">
        <v>6</v>
      </c>
      <c r="I5" s="27"/>
      <c r="J5" s="27"/>
      <c r="K5" s="27"/>
      <c r="L5" s="27"/>
      <c r="M5" s="28"/>
    </row>
    <row r="6" spans="1:13" ht="17" customHeight="1" x14ac:dyDescent="0.2">
      <c r="A6" s="26" t="s">
        <v>7</v>
      </c>
      <c r="B6" s="27"/>
      <c r="C6" s="27"/>
      <c r="D6" s="28"/>
      <c r="E6" s="34">
        <v>12</v>
      </c>
      <c r="F6" s="27"/>
      <c r="G6" s="28"/>
      <c r="H6" s="33" t="s">
        <v>8</v>
      </c>
      <c r="I6" s="27"/>
      <c r="J6" s="27"/>
      <c r="K6" s="27"/>
      <c r="L6" s="27"/>
      <c r="M6" s="28"/>
    </row>
    <row r="7" spans="1:13" ht="17" customHeight="1" x14ac:dyDescent="0.2">
      <c r="A7" s="26" t="s">
        <v>9</v>
      </c>
      <c r="B7" s="27"/>
      <c r="C7" s="27"/>
      <c r="D7" s="28"/>
      <c r="E7" s="34">
        <v>240</v>
      </c>
      <c r="F7" s="27"/>
      <c r="G7" s="28"/>
      <c r="H7" s="33" t="s">
        <v>10</v>
      </c>
      <c r="I7" s="27"/>
      <c r="J7" s="27"/>
      <c r="K7" s="27"/>
      <c r="L7" s="27"/>
      <c r="M7" s="28"/>
    </row>
    <row r="8" spans="1:13" ht="17" customHeight="1" x14ac:dyDescent="0.2">
      <c r="A8" s="26" t="s">
        <v>11</v>
      </c>
      <c r="B8" s="27"/>
      <c r="C8" s="27"/>
      <c r="D8" s="28"/>
      <c r="E8" s="34">
        <v>290</v>
      </c>
      <c r="F8" s="27"/>
      <c r="G8" s="28"/>
      <c r="H8" s="33" t="s">
        <v>12</v>
      </c>
      <c r="I8" s="27"/>
      <c r="J8" s="27"/>
      <c r="K8" s="27"/>
      <c r="L8" s="27"/>
      <c r="M8" s="28"/>
    </row>
    <row r="9" spans="1:13" ht="17" customHeight="1" x14ac:dyDescent="0.2">
      <c r="A9" s="26" t="s">
        <v>13</v>
      </c>
      <c r="B9" s="27"/>
      <c r="C9" s="27"/>
      <c r="D9" s="28"/>
      <c r="E9" s="29">
        <v>2834.5</v>
      </c>
      <c r="F9" s="27"/>
      <c r="G9" s="28"/>
      <c r="H9" s="33" t="s">
        <v>14</v>
      </c>
      <c r="I9" s="27"/>
      <c r="J9" s="27"/>
      <c r="K9" s="27"/>
      <c r="L9" s="27"/>
      <c r="M9" s="28"/>
    </row>
    <row r="10" spans="1:13" ht="17" customHeight="1" x14ac:dyDescent="0.2">
      <c r="A10" s="26" t="s">
        <v>15</v>
      </c>
      <c r="B10" s="27"/>
      <c r="C10" s="27"/>
      <c r="D10" s="28"/>
      <c r="E10" s="29">
        <v>250</v>
      </c>
      <c r="F10" s="27"/>
      <c r="G10" s="28"/>
      <c r="H10" s="33" t="s">
        <v>16</v>
      </c>
      <c r="I10" s="27"/>
      <c r="J10" s="27"/>
      <c r="K10" s="27"/>
      <c r="L10" s="27"/>
      <c r="M10" s="28"/>
    </row>
    <row r="11" spans="1:13" ht="17" customHeight="1" x14ac:dyDescent="0.2">
      <c r="A11" s="26" t="s">
        <v>17</v>
      </c>
      <c r="B11" s="27"/>
      <c r="C11" s="27"/>
      <c r="D11" s="28"/>
      <c r="E11" s="35" t="s">
        <v>72</v>
      </c>
      <c r="F11" s="27"/>
      <c r="G11" s="28"/>
      <c r="H11" s="33" t="s">
        <v>19</v>
      </c>
      <c r="I11" s="27"/>
      <c r="J11" s="27"/>
      <c r="K11" s="27"/>
      <c r="L11" s="27"/>
      <c r="M11" s="28"/>
    </row>
    <row r="12" spans="1:13" ht="17" customHeight="1" x14ac:dyDescent="0.2">
      <c r="A12" s="26" t="s">
        <v>20</v>
      </c>
      <c r="B12" s="27"/>
      <c r="C12" s="27"/>
      <c r="D12" s="28"/>
      <c r="E12" s="35" t="s">
        <v>73</v>
      </c>
      <c r="F12" s="27"/>
      <c r="G12" s="28"/>
      <c r="H12" s="33" t="s">
        <v>22</v>
      </c>
      <c r="I12" s="27"/>
      <c r="J12" s="27"/>
      <c r="K12" s="27"/>
      <c r="L12" s="27"/>
      <c r="M12" s="28"/>
    </row>
    <row r="14" spans="1:13" x14ac:dyDescent="0.2">
      <c r="A14" s="30" t="s">
        <v>23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8" x14ac:dyDescent="0.2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  <c r="H15" s="5" t="s">
        <v>31</v>
      </c>
      <c r="I15" s="5"/>
      <c r="J15" s="5"/>
      <c r="K15" s="5"/>
      <c r="L15" s="5"/>
      <c r="M15" s="5"/>
    </row>
    <row r="16" spans="1:13" ht="18" customHeight="1" x14ac:dyDescent="0.2">
      <c r="A16" s="1" t="s">
        <v>32</v>
      </c>
      <c r="B16" s="3">
        <v>0.40707980857834558</v>
      </c>
      <c r="C16" s="6">
        <v>4.545999039400866E-4</v>
      </c>
      <c r="D16" s="3">
        <v>2.1321348548815729E-2</v>
      </c>
      <c r="E16" s="7">
        <v>1.206368859766171E-2</v>
      </c>
      <c r="F16" s="8">
        <v>0.39501611998068392</v>
      </c>
      <c r="G16" s="8">
        <v>0.4191434971760073</v>
      </c>
      <c r="H16" s="4" t="s">
        <v>33</v>
      </c>
      <c r="I16" s="9"/>
      <c r="J16" s="9"/>
      <c r="K16" s="9"/>
      <c r="L16" s="9"/>
      <c r="M16" s="9"/>
    </row>
    <row r="17" spans="1:13" ht="18" customHeight="1" x14ac:dyDescent="0.2">
      <c r="A17" s="1" t="s">
        <v>34</v>
      </c>
      <c r="B17" s="10">
        <v>0.42266725833004642</v>
      </c>
      <c r="C17" s="6">
        <v>2.7495729855487482E-4</v>
      </c>
      <c r="D17" s="3">
        <v>1.6581836404779619E-2</v>
      </c>
      <c r="E17" s="7">
        <v>9.3820571577186932E-3</v>
      </c>
      <c r="F17" s="8">
        <v>0.4132852011723277</v>
      </c>
      <c r="G17" s="8">
        <v>0.43204931548776498</v>
      </c>
      <c r="H17" s="11">
        <v>0.39516639539124848</v>
      </c>
      <c r="I17" s="9"/>
      <c r="J17" s="9"/>
      <c r="K17" s="9"/>
      <c r="L17" s="9"/>
      <c r="M17" s="9"/>
    </row>
    <row r="18" spans="1:13" ht="18" customHeight="1" x14ac:dyDescent="0.2">
      <c r="A18" s="1" t="s">
        <v>35</v>
      </c>
      <c r="B18" s="7">
        <v>0.41397239720562001</v>
      </c>
      <c r="C18" s="6">
        <v>3.0182998102784418E-4</v>
      </c>
      <c r="D18" s="3">
        <v>1.7373254762071619E-2</v>
      </c>
      <c r="E18" s="7">
        <v>9.8298442473103587E-3</v>
      </c>
      <c r="F18" s="8">
        <v>0.40414255295830959</v>
      </c>
      <c r="G18" s="8">
        <v>0.42380224145293027</v>
      </c>
      <c r="H18" s="12">
        <v>0.33605357499674382</v>
      </c>
      <c r="I18" s="9"/>
      <c r="J18" s="9"/>
      <c r="K18" s="9"/>
      <c r="L18" s="9"/>
      <c r="M18" s="9"/>
    </row>
    <row r="19" spans="1:13" ht="18" customHeight="1" x14ac:dyDescent="0.2">
      <c r="A19" s="1" t="s">
        <v>36</v>
      </c>
      <c r="B19" s="13">
        <v>0.42373640868312012</v>
      </c>
      <c r="C19" s="6">
        <v>1.15380219000104E-4</v>
      </c>
      <c r="D19" s="3">
        <v>1.0741518468080011E-2</v>
      </c>
      <c r="E19" s="7">
        <v>6.0775862074703051E-3</v>
      </c>
      <c r="F19" s="8">
        <v>0.41765882247564978</v>
      </c>
      <c r="G19" s="8">
        <v>0.42981399489059041</v>
      </c>
      <c r="H19" s="14">
        <v>0.74619392129191842</v>
      </c>
      <c r="I19" s="9"/>
      <c r="J19" s="9"/>
      <c r="K19" s="9"/>
      <c r="L19" s="9"/>
      <c r="M19" s="9"/>
    </row>
    <row r="21" spans="1:13" x14ac:dyDescent="0.2">
      <c r="A21" s="30" t="s">
        <v>37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x14ac:dyDescent="0.2">
      <c r="A22" s="32" t="s">
        <v>38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1:13" ht="32" customHeight="1" x14ac:dyDescent="0.2">
      <c r="A23" s="5" t="s">
        <v>39</v>
      </c>
      <c r="B23" s="5" t="s">
        <v>40</v>
      </c>
      <c r="C23" s="5" t="s">
        <v>41</v>
      </c>
      <c r="D23" s="5" t="s">
        <v>42</v>
      </c>
      <c r="E23" s="5" t="s">
        <v>43</v>
      </c>
      <c r="F23" s="5" t="s">
        <v>44</v>
      </c>
      <c r="G23" s="5" t="s">
        <v>45</v>
      </c>
      <c r="H23" s="5" t="s">
        <v>46</v>
      </c>
      <c r="I23" s="5" t="s">
        <v>47</v>
      </c>
      <c r="J23" s="15" t="s">
        <v>48</v>
      </c>
      <c r="K23" s="5" t="s">
        <v>49</v>
      </c>
      <c r="L23" s="5" t="s">
        <v>50</v>
      </c>
      <c r="M23" s="5" t="s">
        <v>51</v>
      </c>
    </row>
    <row r="24" spans="1:13" ht="18" customHeight="1" x14ac:dyDescent="0.2">
      <c r="A24" s="16">
        <v>1</v>
      </c>
      <c r="B24" s="17">
        <v>51</v>
      </c>
      <c r="C24" s="17">
        <v>70</v>
      </c>
      <c r="D24" s="18">
        <v>0.40185619590778199</v>
      </c>
      <c r="E24" s="18">
        <v>0.45761959696656612</v>
      </c>
      <c r="F24" s="10">
        <v>0.42973789643717403</v>
      </c>
      <c r="G24" s="19">
        <v>2833</v>
      </c>
      <c r="H24" s="19">
        <v>247</v>
      </c>
      <c r="I24" s="7">
        <v>0.3968929138569407</v>
      </c>
      <c r="J24" s="13">
        <v>0.43263294126814161</v>
      </c>
      <c r="K24" s="18">
        <v>16.890910965947469</v>
      </c>
      <c r="L24" s="18">
        <v>2.9627708376159521</v>
      </c>
      <c r="M24" s="18">
        <v>1.103397019908924</v>
      </c>
    </row>
    <row r="25" spans="1:13" ht="18" customHeight="1" x14ac:dyDescent="0.2">
      <c r="A25" s="20">
        <v>2</v>
      </c>
      <c r="B25" s="2">
        <v>71</v>
      </c>
      <c r="C25" s="2">
        <v>90</v>
      </c>
      <c r="D25" s="3">
        <v>0.37980756065847782</v>
      </c>
      <c r="E25" s="3">
        <v>0.49123680487502891</v>
      </c>
      <c r="F25" s="10">
        <v>0.43552218276675342</v>
      </c>
      <c r="G25" s="21">
        <v>2893</v>
      </c>
      <c r="H25" s="21">
        <v>252.5</v>
      </c>
      <c r="I25" s="7">
        <v>0.38053748479151772</v>
      </c>
      <c r="J25" s="13">
        <v>0.41018844705201141</v>
      </c>
      <c r="K25" s="3">
        <v>18.51729870976072</v>
      </c>
      <c r="L25" s="3">
        <v>2.927701499735027</v>
      </c>
      <c r="M25" s="3">
        <v>1.1406317828250081</v>
      </c>
    </row>
    <row r="26" spans="1:13" ht="18" customHeight="1" x14ac:dyDescent="0.2">
      <c r="A26" s="16">
        <v>3</v>
      </c>
      <c r="B26" s="17">
        <v>91</v>
      </c>
      <c r="C26" s="17">
        <v>110</v>
      </c>
      <c r="D26" s="18">
        <v>0.42135406582148388</v>
      </c>
      <c r="E26" s="18">
        <v>0.43278631694303299</v>
      </c>
      <c r="F26" s="10">
        <v>0.42707019138225838</v>
      </c>
      <c r="G26" s="19">
        <v>2855</v>
      </c>
      <c r="H26" s="19">
        <v>240.5</v>
      </c>
      <c r="I26" s="7">
        <v>0.42763183685777473</v>
      </c>
      <c r="J26" s="13">
        <v>0.42612848385390661</v>
      </c>
      <c r="K26" s="18">
        <v>16.3061097483574</v>
      </c>
      <c r="L26" s="18">
        <v>2.9700901287783221</v>
      </c>
      <c r="M26" s="18">
        <v>1.094889407040331</v>
      </c>
    </row>
    <row r="27" spans="1:13" ht="18" customHeight="1" x14ac:dyDescent="0.2">
      <c r="A27" s="20">
        <v>4</v>
      </c>
      <c r="B27" s="2">
        <v>111</v>
      </c>
      <c r="C27" s="2">
        <v>130</v>
      </c>
      <c r="D27" s="3">
        <v>0.41874426044506408</v>
      </c>
      <c r="E27" s="3">
        <v>0.42320601971234362</v>
      </c>
      <c r="F27" s="10">
        <v>0.42097514007870379</v>
      </c>
      <c r="G27" s="21">
        <v>2812.5</v>
      </c>
      <c r="H27" s="21">
        <v>250.5</v>
      </c>
      <c r="I27" s="7">
        <v>0.42143736246642283</v>
      </c>
      <c r="J27" s="13">
        <v>0.42940087126909687</v>
      </c>
      <c r="K27" s="3">
        <v>12.42870142161177</v>
      </c>
      <c r="L27" s="3">
        <v>3.1229529702648469</v>
      </c>
      <c r="M27" s="3">
        <v>1.0014766598918341</v>
      </c>
    </row>
    <row r="28" spans="1:13" ht="18" customHeight="1" x14ac:dyDescent="0.2">
      <c r="A28" s="16">
        <v>5</v>
      </c>
      <c r="B28" s="17">
        <v>131</v>
      </c>
      <c r="C28" s="17">
        <v>150</v>
      </c>
      <c r="D28" s="18">
        <v>0.35710497287922199</v>
      </c>
      <c r="E28" s="18">
        <v>0.39568517893004029</v>
      </c>
      <c r="F28" s="10">
        <v>0.37639507590463123</v>
      </c>
      <c r="G28" s="19">
        <v>2781.5</v>
      </c>
      <c r="H28" s="19">
        <v>243</v>
      </c>
      <c r="I28" s="7">
        <v>0.38478385600536791</v>
      </c>
      <c r="J28" s="13">
        <v>0.40296850921943278</v>
      </c>
      <c r="K28" s="18">
        <v>11.1385898264466</v>
      </c>
      <c r="L28" s="18">
        <v>2.7908455138677559</v>
      </c>
      <c r="M28" s="18">
        <v>1.0442449135433269</v>
      </c>
    </row>
    <row r="29" spans="1:13" ht="18" customHeight="1" x14ac:dyDescent="0.2">
      <c r="A29" s="20">
        <v>6</v>
      </c>
      <c r="B29" s="2">
        <v>151</v>
      </c>
      <c r="C29" s="2">
        <v>170</v>
      </c>
      <c r="D29" s="3">
        <v>0.40369741307309998</v>
      </c>
      <c r="E29" s="3">
        <v>0.45136499196683111</v>
      </c>
      <c r="F29" s="10">
        <v>0.42753120251996563</v>
      </c>
      <c r="G29" s="21">
        <v>2819.5</v>
      </c>
      <c r="H29" s="21">
        <v>248</v>
      </c>
      <c r="I29" s="7">
        <v>0.41970376553038241</v>
      </c>
      <c r="J29" s="13">
        <v>0.43506641628462978</v>
      </c>
      <c r="K29" s="3">
        <v>17.223539141470599</v>
      </c>
      <c r="L29" s="3">
        <v>2.9250912258151929</v>
      </c>
      <c r="M29" s="3">
        <v>1.1783965547908479</v>
      </c>
    </row>
    <row r="30" spans="1:13" ht="18" customHeight="1" x14ac:dyDescent="0.2">
      <c r="A30" s="16">
        <v>7</v>
      </c>
      <c r="B30" s="17">
        <v>171</v>
      </c>
      <c r="C30" s="17">
        <v>190</v>
      </c>
      <c r="D30" s="18">
        <v>0.41915367452039898</v>
      </c>
      <c r="E30" s="18">
        <v>0.42220381114216787</v>
      </c>
      <c r="F30" s="10">
        <v>0.42067874283128348</v>
      </c>
      <c r="G30" s="19">
        <v>2818</v>
      </c>
      <c r="H30" s="19">
        <v>235.5</v>
      </c>
      <c r="I30" s="7">
        <v>0.43116641942069622</v>
      </c>
      <c r="J30" s="13">
        <v>0.4383748845761154</v>
      </c>
      <c r="K30" s="18">
        <v>13.530954498906169</v>
      </c>
      <c r="L30" s="18">
        <v>3.0612361230401501</v>
      </c>
      <c r="M30" s="18">
        <v>1.0694161763065411</v>
      </c>
    </row>
    <row r="31" spans="1:13" ht="18" customHeight="1" x14ac:dyDescent="0.2">
      <c r="A31" s="20">
        <v>8</v>
      </c>
      <c r="B31" s="2">
        <v>191</v>
      </c>
      <c r="C31" s="2">
        <v>210</v>
      </c>
      <c r="D31" s="3">
        <v>0.43966861910062061</v>
      </c>
      <c r="E31" s="3">
        <v>0.44592156619589918</v>
      </c>
      <c r="F31" s="10">
        <v>0.44279509264825989</v>
      </c>
      <c r="G31" s="21">
        <v>2870</v>
      </c>
      <c r="H31" s="21">
        <v>256.5</v>
      </c>
      <c r="I31" s="7">
        <v>0.42713166073802189</v>
      </c>
      <c r="J31" s="13">
        <v>0.4236105540827384</v>
      </c>
      <c r="K31" s="3">
        <v>17.897962441331192</v>
      </c>
      <c r="L31" s="3">
        <v>3.0263364173344551</v>
      </c>
      <c r="M31" s="3">
        <v>1.1896955248854639</v>
      </c>
    </row>
    <row r="32" spans="1:13" ht="18" customHeight="1" x14ac:dyDescent="0.2">
      <c r="A32" s="16">
        <v>9</v>
      </c>
      <c r="B32" s="17">
        <v>211</v>
      </c>
      <c r="C32" s="17">
        <v>230</v>
      </c>
      <c r="D32" s="18">
        <v>0.41225786430322409</v>
      </c>
      <c r="E32" s="18">
        <v>0.44012489345027689</v>
      </c>
      <c r="F32" s="10">
        <v>0.42619137887675052</v>
      </c>
      <c r="G32" s="19">
        <v>2807.5</v>
      </c>
      <c r="H32" s="19">
        <v>265</v>
      </c>
      <c r="I32" s="7">
        <v>0.42550073522891241</v>
      </c>
      <c r="J32" s="13">
        <v>0.42552892927681751</v>
      </c>
      <c r="K32" s="18">
        <v>13.497612723670059</v>
      </c>
      <c r="L32" s="18">
        <v>3.1126360139798588</v>
      </c>
      <c r="M32" s="18">
        <v>1.2496618332166349</v>
      </c>
    </row>
    <row r="33" spans="1:13" ht="18" customHeight="1" x14ac:dyDescent="0.2">
      <c r="A33" s="20">
        <v>10</v>
      </c>
      <c r="B33" s="2">
        <v>231</v>
      </c>
      <c r="C33" s="2">
        <v>250</v>
      </c>
      <c r="D33" s="3">
        <v>0.40180250356978259</v>
      </c>
      <c r="E33" s="3">
        <v>0.42510740018878168</v>
      </c>
      <c r="F33" s="10">
        <v>0.41345495187928222</v>
      </c>
      <c r="G33" s="21">
        <v>2805</v>
      </c>
      <c r="H33" s="21">
        <v>244</v>
      </c>
      <c r="I33" s="7">
        <v>0.41921690849289228</v>
      </c>
      <c r="J33" s="13">
        <v>0.42985485388049172</v>
      </c>
      <c r="K33" s="3">
        <v>13.155455665368169</v>
      </c>
      <c r="L33" s="3">
        <v>3.0163380134116742</v>
      </c>
      <c r="M33" s="3">
        <v>1.0214302894725109</v>
      </c>
    </row>
    <row r="34" spans="1:13" ht="18" customHeight="1" x14ac:dyDescent="0.2">
      <c r="A34" s="16">
        <v>11</v>
      </c>
      <c r="B34" s="17">
        <v>251</v>
      </c>
      <c r="C34" s="17">
        <v>270</v>
      </c>
      <c r="D34" s="18">
        <v>0.41525614108453368</v>
      </c>
      <c r="E34" s="18">
        <v>0.45024971006371611</v>
      </c>
      <c r="F34" s="10">
        <v>0.43275292557412492</v>
      </c>
      <c r="G34" s="19">
        <v>2860.5</v>
      </c>
      <c r="H34" s="19">
        <v>263</v>
      </c>
      <c r="I34" s="7">
        <v>0.40853143648641638</v>
      </c>
      <c r="J34" s="13">
        <v>0.41240051090600077</v>
      </c>
      <c r="K34" s="18">
        <v>12.7321621350707</v>
      </c>
      <c r="L34" s="18">
        <v>3.2126962157883359</v>
      </c>
      <c r="M34" s="18">
        <v>1.200088423539557</v>
      </c>
    </row>
    <row r="35" spans="1:13" ht="18" customHeight="1" x14ac:dyDescent="0.2">
      <c r="A35" s="20">
        <v>12</v>
      </c>
      <c r="B35" s="2">
        <v>271</v>
      </c>
      <c r="C35" s="2">
        <v>290</v>
      </c>
      <c r="D35" s="3">
        <v>0.41425443157645819</v>
      </c>
      <c r="E35" s="3">
        <v>0.42355020654628112</v>
      </c>
      <c r="F35" s="10">
        <v>0.41890231906136971</v>
      </c>
      <c r="G35" s="21">
        <v>2825.5</v>
      </c>
      <c r="H35" s="21">
        <v>255</v>
      </c>
      <c r="I35" s="7">
        <v>0.42513438659209402</v>
      </c>
      <c r="J35" s="13">
        <v>0.41868150252805858</v>
      </c>
      <c r="K35" s="3">
        <v>12.619554177195839</v>
      </c>
      <c r="L35" s="3">
        <v>3.094073326345407</v>
      </c>
      <c r="M35" s="3">
        <v>1.23033920979736</v>
      </c>
    </row>
    <row r="36" spans="1:13" ht="18" customHeight="1" x14ac:dyDescent="0.2">
      <c r="A36" s="5" t="s">
        <v>52</v>
      </c>
      <c r="B36" s="22"/>
      <c r="C36" s="22"/>
      <c r="D36" s="23">
        <v>0.40707980857834558</v>
      </c>
      <c r="E36" s="23">
        <v>0.4382547080817471</v>
      </c>
      <c r="F36" s="23">
        <v>0.42266725833004642</v>
      </c>
      <c r="G36" s="24">
        <v>2831.75</v>
      </c>
      <c r="H36" s="24">
        <v>250.04166666666671</v>
      </c>
      <c r="I36" s="23">
        <v>0.41397239720562001</v>
      </c>
      <c r="J36" s="25">
        <v>0.42373640868312012</v>
      </c>
      <c r="K36" s="23">
        <v>14.661570954594721</v>
      </c>
      <c r="L36" s="23">
        <v>3.0185640238314151</v>
      </c>
      <c r="M36" s="23">
        <v>1.1269723162681951</v>
      </c>
    </row>
  </sheetData>
  <mergeCells count="35">
    <mergeCell ref="A21:M21"/>
    <mergeCell ref="E4:G4"/>
    <mergeCell ref="A2:M2"/>
    <mergeCell ref="H6:M6"/>
    <mergeCell ref="H3:M3"/>
    <mergeCell ref="A1:M1"/>
    <mergeCell ref="A6:D6"/>
    <mergeCell ref="H5:M5"/>
    <mergeCell ref="A7:D7"/>
    <mergeCell ref="E3:G3"/>
    <mergeCell ref="E5:G5"/>
    <mergeCell ref="H4:M4"/>
    <mergeCell ref="A3:D3"/>
    <mergeCell ref="A22:M22"/>
    <mergeCell ref="E9:G9"/>
    <mergeCell ref="H11:M11"/>
    <mergeCell ref="A10:D10"/>
    <mergeCell ref="E6:G6"/>
    <mergeCell ref="H7:M7"/>
    <mergeCell ref="A9:D9"/>
    <mergeCell ref="E11:G11"/>
    <mergeCell ref="A11:D11"/>
    <mergeCell ref="H12:M12"/>
    <mergeCell ref="E7:G7"/>
    <mergeCell ref="E12:G12"/>
    <mergeCell ref="H8:M8"/>
    <mergeCell ref="H10:M10"/>
    <mergeCell ref="A12:D12"/>
    <mergeCell ref="E8:G8"/>
    <mergeCell ref="A5:D5"/>
    <mergeCell ref="E10:G10"/>
    <mergeCell ref="A14:M14"/>
    <mergeCell ref="A8:D8"/>
    <mergeCell ref="A4:D4"/>
    <mergeCell ref="H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8</vt:i4>
      </vt:variant>
    </vt:vector>
  </HeadingPairs>
  <TitlesOfParts>
    <vt:vector size="8" baseType="lpstr">
      <vt:lpstr>S1-14-R1</vt:lpstr>
      <vt:lpstr>S3-16-R3</vt:lpstr>
      <vt:lpstr>S1-16-R2</vt:lpstr>
      <vt:lpstr>S2-14-R4</vt:lpstr>
      <vt:lpstr>S3-12-R1</vt:lpstr>
      <vt:lpstr>S1-10-R2</vt:lpstr>
      <vt:lpstr>S3-14-R2</vt:lpstr>
      <vt:lpstr>S2-10-R3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2026-04-29T16:45:24Z</dcterms:created>
  <dcterms:modified xsi:type="dcterms:W3CDTF">2026-04-29T17:06:23Z</dcterms:modified>
</cp:coreProperties>
</file>