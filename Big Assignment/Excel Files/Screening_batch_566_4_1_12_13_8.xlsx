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8AAFEB21-C80C-1344-AF10-C2C5D7DEEDD7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D19" i="2"/>
  <c r="E19" i="2" s="1"/>
  <c r="D20" i="2"/>
  <c r="E20" i="2" s="1"/>
  <c r="D21" i="2"/>
  <c r="E21" i="2" s="1"/>
  <c r="D22" i="2"/>
  <c r="E22" i="2" s="1"/>
  <c r="D16" i="2"/>
  <c r="E16" i="2" s="1"/>
  <c r="E18" i="2"/>
  <c r="E17" i="2"/>
  <c r="G18" i="2" l="1"/>
  <c r="F18" i="2"/>
  <c r="G20" i="2"/>
  <c r="F20" i="2"/>
  <c r="G19" i="2"/>
  <c r="F19" i="2"/>
  <c r="G21" i="2"/>
  <c r="F21" i="2"/>
  <c r="G16" i="2"/>
  <c r="F16" i="2"/>
  <c r="G17" i="2"/>
  <c r="F17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<sst xmlns="http://schemas.openxmlformats.org/spreadsheetml/2006/main" count="123" uniqueCount="66">
  <si>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</si>
  <si>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</si>
  <si>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</si>
  <si>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</si>
  <si>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</si>
  <si>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</si>
  <si>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</si>
  <si>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</si>
  <si>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</si>
  <si>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</si>
  <si>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</si>
  <si>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</si>
  <si>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</si>
  <si>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</si>
  <si>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</si>
  <si>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</si>
  <si>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</si>
  <si>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</si>
  <si>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</si>
  <si>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</si>
  <si>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</si>
  <si>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</si>
  <si>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</si>
  <si>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</si>
  <si>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</si>
  <si>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</si>
  <si>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</si>
  <si>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</si>
  <si>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</si>
  <si>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</si>
  <si>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</si>
  <si>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</si>
  <si>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</si>
  <si>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</si>
  <si>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</si>
  <si>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</si>
  <si>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</si>
  <si>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</si>
  <si>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</si>
  <si>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</si>
  <si>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</si>
  <si>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</si>
  <si>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</si>
  <si>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</si>
  <si>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</si>
  <si>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</si>
  <si>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</si>
  <si>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</si>
  <si>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</si>
  <si>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</si>
  <si>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</si>
  <si>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</si>
  <si>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</si>
  <si>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</si>
  <si>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</si>
  <si>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</si>
  <si>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</si>
  <si>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</si>
  <si>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</si>
  <si>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</si>
  <si>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(12)</t>
  </si>
  <si>
    <t>Interaction strategy × rule | urgent slots = + (13)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</si>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</sst>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/>
    <xf numFmtId="165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7" fillId="5" borderId="0" xfId="2"/>
    <xf numFmtId="0" fontId="6" fillId="4" borderId="0" xfId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0.43332540155288241</c:v>
                </c:pt>
                <c:pt idx="1">
                  <c:v>0.4299418177710661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A9-1647-B1BE-E1760D0C9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0.45447656507322182</c:v>
                </c:pt>
                <c:pt idx="1">
                  <c:v>0.40879065425072669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D9-8446-8CDB-6DEFC8315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0.43221817872501472</c:v>
                </c:pt>
                <c:pt idx="1">
                  <c:v>0.43104904059893379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A1-4D4F-A3A8-088C7CD8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0.45419141367340488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0C-DA49-BF68-3DB27D88D647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0C-DA49-BF68-3DB27D88D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0.4525393963902074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39-DC47-BBEB-0C0C3716DF5F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39-DC47-BBEB-0C0C3716D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0.45419141367340488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BE-A14C-8013-4EC436287C46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0.4525393963902074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BE-A14C-8013-4EC436287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C5-2740-B720-B67517FCA20D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C5-2740-B720-B67517FCA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0.41133787553989531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16-C34C-91D1-FFDB749E8741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0.41078828044235949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16-C34C-91D1-FFDB749E8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BB-9E41-A00A-C5BE07820EF0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BB-9E41-A00A-C5BE07820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zoomScale="143"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12</v>
      </c>
      <c r="D4" s="3" t="s">
        <v>17</v>
      </c>
      <c r="E4" s="3">
        <v>1</v>
      </c>
      <c r="F4" s="3" t="s">
        <v>17</v>
      </c>
      <c r="G4" s="3">
        <v>1</v>
      </c>
      <c r="H4" s="4">
        <v>0.46239073326871483</v>
      </c>
      <c r="I4" s="4">
        <v>0.47113689241056012</v>
      </c>
      <c r="J4" s="4">
        <v>0.44398509978929479</v>
      </c>
      <c r="K4" s="4">
        <v>0.4607491230745781</v>
      </c>
      <c r="L4" s="4">
        <v>0.45387738625138319</v>
      </c>
      <c r="M4" s="4">
        <v>0.4508656754856662</v>
      </c>
      <c r="N4" s="4">
        <v>0.4651862136880896</v>
      </c>
      <c r="O4" s="4">
        <v>0.44413261542631649</v>
      </c>
      <c r="P4" s="4">
        <v>0.45654046742432541</v>
      </c>
    </row>
    <row r="5" spans="1:16" x14ac:dyDescent="0.2">
      <c r="A5" s="2">
        <v>2</v>
      </c>
      <c r="B5" s="3" t="s">
        <v>18</v>
      </c>
      <c r="C5" s="3">
        <v>13</v>
      </c>
      <c r="D5" s="3" t="s">
        <v>17</v>
      </c>
      <c r="E5" s="3">
        <v>1</v>
      </c>
      <c r="F5" s="3" t="s">
        <v>17</v>
      </c>
      <c r="G5" s="3">
        <v>1</v>
      </c>
      <c r="H5" s="4">
        <v>0.46871363370108382</v>
      </c>
      <c r="I5" s="4">
        <v>0.44420855325140812</v>
      </c>
      <c r="J5" s="4">
        <v>0.45298698512635582</v>
      </c>
      <c r="K5" s="4">
        <v>0.44494537068235968</v>
      </c>
      <c r="L5" s="4">
        <v>0.45579053389542579</v>
      </c>
      <c r="M5" s="4">
        <v>0.46148872002222041</v>
      </c>
      <c r="N5" s="4">
        <v>0.45073000217622561</v>
      </c>
      <c r="O5" s="4">
        <v>0.45466751053216031</v>
      </c>
      <c r="P5" s="4">
        <v>0.45419141367340488</v>
      </c>
    </row>
    <row r="6" spans="1:16" x14ac:dyDescent="0.2">
      <c r="A6" s="2">
        <v>3</v>
      </c>
      <c r="B6" s="3" t="s">
        <v>17</v>
      </c>
      <c r="C6" s="3">
        <v>12</v>
      </c>
      <c r="D6" s="3" t="s">
        <v>18</v>
      </c>
      <c r="E6" s="3">
        <v>2</v>
      </c>
      <c r="F6" s="3" t="s">
        <v>17</v>
      </c>
      <c r="G6" s="3">
        <v>1</v>
      </c>
      <c r="H6" s="4">
        <v>0.41444942730395851</v>
      </c>
      <c r="I6" s="4">
        <v>0.40859786445478657</v>
      </c>
      <c r="J6" s="4">
        <v>0.40940190466731818</v>
      </c>
      <c r="K6" s="4">
        <v>0.39885635242773892</v>
      </c>
      <c r="L6" s="4">
        <v>0.40784441722970238</v>
      </c>
      <c r="M6" s="4">
        <v>0.42282200413439291</v>
      </c>
      <c r="N6" s="4">
        <v>0.40866056847840398</v>
      </c>
      <c r="O6" s="4">
        <v>0.4200704656228611</v>
      </c>
      <c r="P6" s="4">
        <v>0.41133787553989531</v>
      </c>
    </row>
    <row r="7" spans="1:16" x14ac:dyDescent="0.2">
      <c r="A7" s="2">
        <v>4</v>
      </c>
      <c r="B7" s="3" t="s">
        <v>18</v>
      </c>
      <c r="C7" s="3">
        <v>13</v>
      </c>
      <c r="D7" s="3" t="s">
        <v>18</v>
      </c>
      <c r="E7" s="3">
        <v>2</v>
      </c>
      <c r="F7" s="3" t="s">
        <v>17</v>
      </c>
      <c r="G7" s="3">
        <v>1</v>
      </c>
      <c r="H7" s="4">
        <v>0.41512242923217368</v>
      </c>
      <c r="I7" s="4">
        <v>0.40855329278160452</v>
      </c>
      <c r="J7" s="4">
        <v>0.41340173774391747</v>
      </c>
      <c r="K7" s="4">
        <v>0.40431060141956421</v>
      </c>
      <c r="L7" s="4">
        <v>0.38562681630978118</v>
      </c>
      <c r="M7" s="4">
        <v>0.40800431701639239</v>
      </c>
      <c r="N7" s="4">
        <v>0.4137502906638843</v>
      </c>
      <c r="O7" s="4">
        <v>0.40565418093214811</v>
      </c>
      <c r="P7" s="4">
        <v>0.40680295826243318</v>
      </c>
    </row>
    <row r="8" spans="1:16" x14ac:dyDescent="0.2">
      <c r="A8" s="2">
        <v>5</v>
      </c>
      <c r="B8" s="3" t="s">
        <v>17</v>
      </c>
      <c r="C8" s="3">
        <v>12</v>
      </c>
      <c r="D8" s="3" t="s">
        <v>17</v>
      </c>
      <c r="E8" s="3">
        <v>1</v>
      </c>
      <c r="F8" s="3" t="s">
        <v>18</v>
      </c>
      <c r="G8" s="3">
        <v>2</v>
      </c>
      <c r="H8" s="4">
        <v>0.46074974653386791</v>
      </c>
      <c r="I8" s="4">
        <v>0.46912103334647481</v>
      </c>
      <c r="J8" s="4">
        <v>0.441775572543053</v>
      </c>
      <c r="K8" s="4">
        <v>0.45912793809871211</v>
      </c>
      <c r="L8" s="4">
        <v>0.45092830050498028</v>
      </c>
      <c r="M8" s="4">
        <v>0.4494565884855759</v>
      </c>
      <c r="N8" s="4">
        <v>0.46415045308641861</v>
      </c>
      <c r="O8" s="4">
        <v>0.44177022984051367</v>
      </c>
      <c r="P8" s="4">
        <v>0.45463498280494952</v>
      </c>
    </row>
    <row r="9" spans="1:16" x14ac:dyDescent="0.2">
      <c r="A9" s="2">
        <v>6</v>
      </c>
      <c r="B9" s="3" t="s">
        <v>18</v>
      </c>
      <c r="C9" s="3">
        <v>13</v>
      </c>
      <c r="D9" s="3" t="s">
        <v>17</v>
      </c>
      <c r="E9" s="3">
        <v>1</v>
      </c>
      <c r="F9" s="3" t="s">
        <v>18</v>
      </c>
      <c r="G9" s="3">
        <v>2</v>
      </c>
      <c r="H9" s="4">
        <v>0.46706800875154653</v>
      </c>
      <c r="I9" s="4">
        <v>0.4426715651607292</v>
      </c>
      <c r="J9" s="4">
        <v>0.45124606347462992</v>
      </c>
      <c r="K9" s="4">
        <v>0.44329858251899751</v>
      </c>
      <c r="L9" s="4">
        <v>0.45448323967827919</v>
      </c>
      <c r="M9" s="4">
        <v>0.46025239948834051</v>
      </c>
      <c r="N9" s="4">
        <v>0.44897099428576381</v>
      </c>
      <c r="O9" s="4">
        <v>0.45232431776337262</v>
      </c>
      <c r="P9" s="4">
        <v>0.4525393963902074</v>
      </c>
    </row>
    <row r="10" spans="1:16" x14ac:dyDescent="0.2">
      <c r="A10" s="2">
        <v>7</v>
      </c>
      <c r="B10" s="3" t="s">
        <v>17</v>
      </c>
      <c r="C10" s="3">
        <v>12</v>
      </c>
      <c r="D10" s="3" t="s">
        <v>18</v>
      </c>
      <c r="E10" s="3">
        <v>2</v>
      </c>
      <c r="F10" s="3" t="s">
        <v>18</v>
      </c>
      <c r="G10" s="3">
        <v>2</v>
      </c>
      <c r="H10" s="4">
        <v>0.41389505795522069</v>
      </c>
      <c r="I10" s="4">
        <v>0.40801405073560548</v>
      </c>
      <c r="J10" s="4">
        <v>0.40888639996116971</v>
      </c>
      <c r="K10" s="4">
        <v>0.39830772744979132</v>
      </c>
      <c r="L10" s="4">
        <v>0.40698712033934858</v>
      </c>
      <c r="M10" s="4">
        <v>0.42249214214850739</v>
      </c>
      <c r="N10" s="4">
        <v>0.40859688782411219</v>
      </c>
      <c r="O10" s="4">
        <v>0.41912685712512132</v>
      </c>
      <c r="P10" s="4">
        <v>0.41078828044235949</v>
      </c>
    </row>
    <row r="11" spans="1:16" x14ac:dyDescent="0.2">
      <c r="A11" s="2">
        <v>8</v>
      </c>
      <c r="B11" s="3" t="s">
        <v>18</v>
      </c>
      <c r="C11" s="3">
        <v>13</v>
      </c>
      <c r="D11" s="3" t="s">
        <v>18</v>
      </c>
      <c r="E11" s="3">
        <v>2</v>
      </c>
      <c r="F11" s="3" t="s">
        <v>18</v>
      </c>
      <c r="G11" s="3">
        <v>2</v>
      </c>
      <c r="H11" s="4">
        <v>0.41498660142026278</v>
      </c>
      <c r="I11" s="4">
        <v>0.40713143278026209</v>
      </c>
      <c r="J11" s="4">
        <v>0.41348580423385289</v>
      </c>
      <c r="K11" s="4">
        <v>0.40348532267118198</v>
      </c>
      <c r="L11" s="4">
        <v>0.38459038802382162</v>
      </c>
      <c r="M11" s="4">
        <v>0.40745107432617539</v>
      </c>
      <c r="N11" s="4">
        <v>0.41335197863298317</v>
      </c>
      <c r="O11" s="4">
        <v>0.40538541997721178</v>
      </c>
      <c r="P11" s="4">
        <v>0.40623350275821901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zoomScale="143" workbookViewId="0">
      <pane ySplit="3" topLeftCell="A4" activePane="bottomLeft" state="frozen"/>
      <selection pane="bottomLeft" activeCell="G19" sqref="G19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13" t="s">
        <v>19</v>
      </c>
      <c r="B1" s="14"/>
      <c r="C1" s="14"/>
      <c r="D1" s="14"/>
      <c r="E1" s="14"/>
      <c r="F1" s="14"/>
      <c r="G1" s="14"/>
      <c r="H1" s="14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3.6014270108262331E-3</v>
      </c>
      <c r="C4" s="4">
        <v>-5.0117151585899238E-2</v>
      </c>
      <c r="D4" s="4">
        <v>-9.9420221125824659E-4</v>
      </c>
      <c r="E4" s="4">
        <v>-2.719154314197544E-3</v>
      </c>
      <c r="F4" s="4">
        <v>1.034758305340916E-4</v>
      </c>
      <c r="G4" s="4">
        <v>6.4910363093383106E-4</v>
      </c>
      <c r="H4" s="4">
        <v>1.057949378793083E-4</v>
      </c>
    </row>
    <row r="5" spans="1:8" x14ac:dyDescent="0.2">
      <c r="A5" s="3">
        <v>2</v>
      </c>
      <c r="B5" s="4">
        <v>-1.3576249243355751E-2</v>
      </c>
      <c r="C5" s="4">
        <v>-4.8710350854228368E-2</v>
      </c>
      <c r="D5" s="4">
        <v>-1.389630218821936E-3</v>
      </c>
      <c r="E5" s="4">
        <v>1.311265442909303E-2</v>
      </c>
      <c r="F5" s="4">
        <v>-8.9793827188752728E-5</v>
      </c>
      <c r="G5" s="4">
        <v>3.8679335856015018E-4</v>
      </c>
      <c r="H5" s="4">
        <v>-3.2922931389191279E-4</v>
      </c>
    </row>
    <row r="6" spans="1:8" x14ac:dyDescent="0.2">
      <c r="A6" s="3">
        <v>3</v>
      </c>
      <c r="B6" s="4">
        <v>6.7679034044801079E-3</v>
      </c>
      <c r="C6" s="4">
        <v>-3.6204468581768789E-2</v>
      </c>
      <c r="D6" s="4">
        <v>-1.0954717785452289E-3</v>
      </c>
      <c r="E6" s="4">
        <v>-2.4682847298388428E-3</v>
      </c>
      <c r="F6" s="4">
        <v>2.6704419764997378E-4</v>
      </c>
      <c r="G6" s="4">
        <v>8.7975267043867433E-4</v>
      </c>
      <c r="H6" s="4">
        <v>3.2741400392055642E-5</v>
      </c>
    </row>
    <row r="7" spans="1:8" x14ac:dyDescent="0.2">
      <c r="A7" s="3">
        <v>4</v>
      </c>
      <c r="B7" s="4">
        <v>-5.2503159396792703E-3</v>
      </c>
      <c r="C7" s="4">
        <v>-5.0790252601592777E-2</v>
      </c>
      <c r="D7" s="4">
        <v>-1.160469216389487E-3</v>
      </c>
      <c r="E7" s="4">
        <v>1.056623804628724E-2</v>
      </c>
      <c r="F7" s="4">
        <v>-7.5564239482669993E-5</v>
      </c>
      <c r="G7" s="4">
        <v>4.7351735322459509E-4</v>
      </c>
      <c r="H7" s="4">
        <v>-6.2762645734584788E-5</v>
      </c>
    </row>
    <row r="8" spans="1:8" x14ac:dyDescent="0.2">
      <c r="A8" s="3">
        <v>5</v>
      </c>
      <c r="B8" s="4">
        <v>-9.786561604526664E-3</v>
      </c>
      <c r="C8" s="4">
        <v>-5.7507679606853643E-2</v>
      </c>
      <c r="D8" s="4">
        <v>-1.537526284965729E-3</v>
      </c>
      <c r="E8" s="4">
        <v>-1.252060501319747E-2</v>
      </c>
      <c r="F8" s="4">
        <v>3.6566503341260709E-4</v>
      </c>
      <c r="G8" s="4">
        <v>5.9066369680899067E-4</v>
      </c>
      <c r="H8" s="4">
        <v>-4.5523073121554741E-4</v>
      </c>
    </row>
    <row r="9" spans="1:8" x14ac:dyDescent="0.2">
      <c r="A9" s="3">
        <v>6</v>
      </c>
      <c r="B9" s="4">
        <v>-2.1099748502534381E-3</v>
      </c>
      <c r="C9" s="4">
        <v>-4.0323461464083693E-2</v>
      </c>
      <c r="D9" s="4">
        <v>-8.8212805251811077E-4</v>
      </c>
      <c r="E9" s="4">
        <v>-1.28194026199128E-2</v>
      </c>
      <c r="F9" s="4">
        <v>-1.2653559530256819E-5</v>
      </c>
      <c r="G9" s="4">
        <v>4.4057571446692872E-4</v>
      </c>
      <c r="H9" s="4">
        <v>-9.9036792635454063E-5</v>
      </c>
    </row>
    <row r="10" spans="1:8" x14ac:dyDescent="0.2">
      <c r="A10" s="3">
        <v>7</v>
      </c>
      <c r="B10" s="4">
        <v>-4.9477143295418718E-3</v>
      </c>
      <c r="C10" s="4">
        <v>-4.6169484409278462E-2</v>
      </c>
      <c r="D10" s="4">
        <v>-8.1419029433141277E-4</v>
      </c>
      <c r="E10" s="4">
        <v>9.8701208267175239E-3</v>
      </c>
      <c r="F10" s="4">
        <v>-2.6446966634997848E-4</v>
      </c>
      <c r="G10" s="4">
        <v>5.8319395173497823E-4</v>
      </c>
      <c r="H10" s="4">
        <v>9.7153978045369516E-5</v>
      </c>
    </row>
    <row r="11" spans="1:8" x14ac:dyDescent="0.2">
      <c r="A11" s="3">
        <v>8</v>
      </c>
      <c r="B11" s="4">
        <v>-1.767184702479954E-3</v>
      </c>
      <c r="C11" s="4">
        <v>-3.5664437476255251E-2</v>
      </c>
      <c r="D11" s="4">
        <v>-1.479486951816641E-3</v>
      </c>
      <c r="E11" s="4">
        <v>-1.2311676216831279E-2</v>
      </c>
      <c r="F11" s="4">
        <v>1.7351008995465661E-4</v>
      </c>
      <c r="G11" s="4">
        <v>8.7330222547855885E-4</v>
      </c>
      <c r="H11" s="4">
        <v>1.6391368144709481E-4</v>
      </c>
    </row>
    <row r="14" spans="1:8" x14ac:dyDescent="0.2">
      <c r="A14" s="15" t="s">
        <v>28</v>
      </c>
      <c r="B14" s="14"/>
      <c r="C14" s="14"/>
      <c r="D14" s="14"/>
      <c r="E14" s="14"/>
      <c r="F14" s="14"/>
      <c r="G14" s="14"/>
    </row>
    <row r="15" spans="1:8" x14ac:dyDescent="0.2">
      <c r="A15" s="1" t="s">
        <v>29</v>
      </c>
      <c r="B15" s="1" t="s">
        <v>30</v>
      </c>
      <c r="C15" s="1" t="s">
        <v>31</v>
      </c>
      <c r="D15" s="10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-3.383583781816326E-3</v>
      </c>
      <c r="C16" s="4">
        <v>6.6213684503778798E-3</v>
      </c>
      <c r="D16" s="4">
        <f>_xlfn.T.INV.2T(0.1/7,7)</f>
        <v>3.2383460877280466</v>
      </c>
      <c r="E16" s="4">
        <f>C16*D16/SQRT(4)</f>
        <v>1.0721141308343562E-2</v>
      </c>
      <c r="F16" s="4">
        <f>B16-E16</f>
        <v>-1.4104725090159888E-2</v>
      </c>
      <c r="G16" s="8">
        <f>B16+E16</f>
        <v>7.3375575265272365E-3</v>
      </c>
      <c r="H16" s="11" t="s">
        <v>36</v>
      </c>
    </row>
    <row r="17" spans="1:8" ht="16" x14ac:dyDescent="0.2">
      <c r="A17" s="5" t="s">
        <v>22</v>
      </c>
      <c r="B17" s="4">
        <v>-4.5685910822495027E-2</v>
      </c>
      <c r="C17" s="4">
        <v>7.6895944155208652E-3</v>
      </c>
      <c r="D17" s="4">
        <f t="shared" ref="D17:D22" si="0">_xlfn.T.INV.2T(0.1/7,7)</f>
        <v>3.2383460877280466</v>
      </c>
      <c r="E17" s="4">
        <f t="shared" ref="E17:E22" si="1">C17*D17/SQRT(4)</f>
        <v>1.2450783995858715E-2</v>
      </c>
      <c r="F17" s="4">
        <f t="shared" ref="F17:F21" si="2">B17-E17</f>
        <v>-5.8136694818353742E-2</v>
      </c>
      <c r="G17" s="8">
        <f t="shared" ref="G17:G22" si="3">B17+E17</f>
        <v>-3.3235126826636312E-2</v>
      </c>
      <c r="H17" s="12" t="s">
        <v>37</v>
      </c>
    </row>
    <row r="18" spans="1:8" ht="16" x14ac:dyDescent="0.2">
      <c r="A18" s="5" t="s">
        <v>23</v>
      </c>
      <c r="B18" s="4">
        <v>-1.169138126080849E-3</v>
      </c>
      <c r="C18" s="4">
        <v>2.738900177711932E-4</v>
      </c>
      <c r="D18" s="4">
        <f t="shared" si="0"/>
        <v>3.2383460877280466</v>
      </c>
      <c r="E18" s="4">
        <f t="shared" si="1"/>
        <v>4.434753337585543E-4</v>
      </c>
      <c r="F18" s="4">
        <f t="shared" si="2"/>
        <v>-1.6126134598394033E-3</v>
      </c>
      <c r="G18" s="8">
        <f t="shared" si="3"/>
        <v>-7.2566279232229476E-4</v>
      </c>
      <c r="H18" s="12" t="s">
        <v>37</v>
      </c>
    </row>
    <row r="19" spans="1:8" ht="28" x14ac:dyDescent="0.2">
      <c r="A19" s="5" t="s">
        <v>38</v>
      </c>
      <c r="B19" s="4">
        <v>-1.1612636989850179E-3</v>
      </c>
      <c r="C19" s="4">
        <v>1.106076944572882E-2</v>
      </c>
      <c r="D19" s="4">
        <f t="shared" si="0"/>
        <v>3.2383460877280466</v>
      </c>
      <c r="E19" s="4">
        <f t="shared" si="1"/>
        <v>1.7909299730918919E-2</v>
      </c>
      <c r="F19" s="4">
        <f t="shared" si="2"/>
        <v>-1.9070563429903938E-2</v>
      </c>
      <c r="G19" s="8">
        <f t="shared" si="3"/>
        <v>1.6748036031933901E-2</v>
      </c>
      <c r="H19" s="11" t="s">
        <v>36</v>
      </c>
    </row>
    <row r="20" spans="1:8" ht="28" x14ac:dyDescent="0.2">
      <c r="A20" s="5" t="s">
        <v>39</v>
      </c>
      <c r="B20" s="4">
        <v>5.8401732374958881E-5</v>
      </c>
      <c r="C20" s="4">
        <v>2.0785558960236799E-4</v>
      </c>
      <c r="D20" s="4">
        <f t="shared" si="0"/>
        <v>3.2383460877280466</v>
      </c>
      <c r="E20" s="4">
        <f>C20*D20/SQRT(4)</f>
        <v>3.3655416770061742E-4</v>
      </c>
      <c r="F20" s="4">
        <f t="shared" si="2"/>
        <v>-2.7815243532565854E-4</v>
      </c>
      <c r="G20" s="9">
        <f>B20+E20</f>
        <v>3.949559000755763E-4</v>
      </c>
      <c r="H20" s="11" t="s">
        <v>36</v>
      </c>
    </row>
    <row r="21" spans="1:8" ht="28" x14ac:dyDescent="0.2">
      <c r="A21" s="5" t="s">
        <v>40</v>
      </c>
      <c r="B21" s="4">
        <v>6.0961282520583839E-4</v>
      </c>
      <c r="C21" s="4">
        <v>1.858833055191762E-4</v>
      </c>
      <c r="D21" s="4">
        <f t="shared" si="0"/>
        <v>3.2383460877280466</v>
      </c>
      <c r="E21" s="4">
        <f t="shared" si="1"/>
        <v>3.0097723760099071E-4</v>
      </c>
      <c r="F21" s="4">
        <f t="shared" si="2"/>
        <v>3.0863558760484768E-4</v>
      </c>
      <c r="G21" s="8">
        <f t="shared" si="3"/>
        <v>9.1059006280682915E-4</v>
      </c>
      <c r="H21" s="12" t="s">
        <v>37</v>
      </c>
    </row>
    <row r="22" spans="1:8" ht="28" x14ac:dyDescent="0.2">
      <c r="A22" s="5" t="s">
        <v>41</v>
      </c>
      <c r="B22" s="4">
        <v>-6.8331935714208841E-5</v>
      </c>
      <c r="C22" s="4">
        <v>2.2058089764865271E-4</v>
      </c>
      <c r="D22" s="4">
        <f t="shared" si="0"/>
        <v>3.2383460877280466</v>
      </c>
      <c r="E22" s="4">
        <f t="shared" si="1"/>
        <v>3.5715864346402756E-4</v>
      </c>
      <c r="F22" s="4">
        <f>B22-E22</f>
        <v>-4.254905791782364E-4</v>
      </c>
      <c r="G22" s="8">
        <f t="shared" si="3"/>
        <v>2.8882670774981871E-4</v>
      </c>
      <c r="H22" s="11" t="s">
        <v>36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13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0.43332540155288241</v>
      </c>
      <c r="C5" s="6">
        <v>12</v>
      </c>
      <c r="E5" s="3" t="s">
        <v>17</v>
      </c>
      <c r="F5" s="4">
        <v>0.45447656507322182</v>
      </c>
      <c r="G5" s="6">
        <v>1</v>
      </c>
      <c r="I5" s="3" t="s">
        <v>17</v>
      </c>
      <c r="J5" s="4">
        <v>0.43221817872501472</v>
      </c>
      <c r="K5" s="6">
        <v>1</v>
      </c>
    </row>
    <row r="6" spans="1:17" x14ac:dyDescent="0.2">
      <c r="A6" s="3" t="s">
        <v>18</v>
      </c>
      <c r="B6" s="4">
        <v>0.4299418177710661</v>
      </c>
      <c r="C6" s="6">
        <v>13</v>
      </c>
      <c r="E6" s="3" t="s">
        <v>18</v>
      </c>
      <c r="F6" s="4">
        <v>0.40879065425072669</v>
      </c>
      <c r="G6" s="6">
        <v>2</v>
      </c>
      <c r="I6" s="3" t="s">
        <v>18</v>
      </c>
      <c r="J6" s="4">
        <v>0.43104904059893379</v>
      </c>
      <c r="K6" s="6">
        <v>2</v>
      </c>
    </row>
    <row r="25" spans="1:8" ht="28" x14ac:dyDescent="0.2">
      <c r="A25" s="1" t="s">
        <v>49</v>
      </c>
    </row>
    <row r="27" spans="1:8" x14ac:dyDescent="0.2">
      <c r="A27" s="15" t="s">
        <v>50</v>
      </c>
      <c r="B27" s="16"/>
      <c r="C27" s="17"/>
      <c r="E27" s="15" t="s">
        <v>51</v>
      </c>
      <c r="F27" s="16"/>
      <c r="G27" s="17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12</v>
      </c>
      <c r="B29" s="4">
        <v>0.45654046742432541</v>
      </c>
      <c r="C29" s="4">
        <v>0.41133787553989531</v>
      </c>
      <c r="E29" s="3">
        <v>12</v>
      </c>
      <c r="F29" s="4">
        <v>0.45463498280494952</v>
      </c>
      <c r="G29" s="4">
        <v>0.41078828044235949</v>
      </c>
    </row>
    <row r="30" spans="1:8" x14ac:dyDescent="0.2">
      <c r="A30" s="3">
        <v>13</v>
      </c>
      <c r="B30" s="4">
        <v>0.45419141367340488</v>
      </c>
      <c r="C30" s="4">
        <v>0.40680295826243318</v>
      </c>
      <c r="E30" s="3">
        <v>13</v>
      </c>
      <c r="F30" s="4">
        <v>0.4525393963902074</v>
      </c>
      <c r="G30" s="4">
        <v>0.40623350275821901</v>
      </c>
    </row>
    <row r="52" spans="1:8" x14ac:dyDescent="0.2">
      <c r="A52" s="15" t="s">
        <v>55</v>
      </c>
      <c r="B52" s="16"/>
      <c r="C52" s="17"/>
      <c r="E52" s="15" t="s">
        <v>56</v>
      </c>
      <c r="F52" s="16"/>
      <c r="G52" s="17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12</v>
      </c>
      <c r="B54" s="4">
        <v>0.45654046742432541</v>
      </c>
      <c r="C54" s="4">
        <v>0.45463498280494952</v>
      </c>
      <c r="E54" s="3">
        <v>12</v>
      </c>
      <c r="F54" s="4">
        <v>0.41133787553989531</v>
      </c>
      <c r="G54" s="4">
        <v>0.41078828044235949</v>
      </c>
    </row>
    <row r="55" spans="1:8" x14ac:dyDescent="0.2">
      <c r="A55" s="3">
        <v>13</v>
      </c>
      <c r="B55" s="4">
        <v>0.45419141367340488</v>
      </c>
      <c r="C55" s="4">
        <v>0.4525393963902074</v>
      </c>
      <c r="E55" s="3">
        <v>13</v>
      </c>
      <c r="F55" s="4">
        <v>0.40680295826243318</v>
      </c>
      <c r="G55" s="4">
        <v>0.40623350275821901</v>
      </c>
    </row>
    <row r="77" spans="1:8" x14ac:dyDescent="0.2">
      <c r="A77" s="15" t="s">
        <v>60</v>
      </c>
      <c r="B77" s="16"/>
      <c r="C77" s="17"/>
      <c r="E77" s="15" t="s">
        <v>61</v>
      </c>
      <c r="F77" s="16"/>
      <c r="G77" s="17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0.45654046742432541</v>
      </c>
      <c r="C79" s="4">
        <v>0.45463498280494952</v>
      </c>
      <c r="E79" s="3">
        <v>1</v>
      </c>
      <c r="F79" s="4">
        <v>0.45419141367340488</v>
      </c>
      <c r="G79" s="4">
        <v>0.4525393963902074</v>
      </c>
    </row>
    <row r="80" spans="1:8" x14ac:dyDescent="0.2">
      <c r="A80" s="3">
        <v>2</v>
      </c>
      <c r="B80" s="4">
        <v>0.41133787553989531</v>
      </c>
      <c r="C80" s="4">
        <v>0.41078828044235949</v>
      </c>
      <c r="E80" s="3">
        <v>2</v>
      </c>
      <c r="F80" s="4">
        <v>0.40680295826243318</v>
      </c>
      <c r="G80" s="4">
        <v>0.40623350275821901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2026-05-06T15:51:16Z</dcterms:created>
  <dcterms:modified xsi:type="dcterms:W3CDTF">2026-05-06T16:38:49Z</dcterms:modified>
</cp:coreProperties>
</file>