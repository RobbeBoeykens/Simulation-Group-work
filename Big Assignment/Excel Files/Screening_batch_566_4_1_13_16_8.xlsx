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ophiehoeckman/Documents/GitHub/Simulation-Group-work/Big Assignment/Excel Files/"/>
    </mc:Choice>
  </mc:AlternateContent>
  <xr:revisionPtr revIDLastSave="0" documentId="13_ncr:1_{A520CDC3-A1C7-C945-A125-3E9F8C3F87C2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Screening design" sheetId="1" r:id="rId1"/>
    <sheet name="Screening effects" sheetId="2" r:id="rId2"/>
    <sheet name="Screening plots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2" i="2" l="1"/>
  <c r="E22" i="2" s="1"/>
  <c r="D21" i="2"/>
  <c r="E21" i="2" s="1"/>
  <c r="D20" i="2"/>
  <c r="E20" i="2" s="1"/>
  <c r="D19" i="2"/>
  <c r="E19" i="2" s="1"/>
  <c r="D18" i="2"/>
  <c r="E18" i="2" s="1"/>
  <c r="D17" i="2"/>
  <c r="E17" i="2" s="1"/>
  <c r="D16" i="2"/>
  <c r="E16" i="2" s="1"/>
  <c r="G16" i="2" l="1"/>
  <c r="F16" i="2"/>
  <c r="G17" i="2"/>
  <c r="F17" i="2"/>
  <c r="G18" i="2"/>
  <c r="F18" i="2"/>
  <c r="G19" i="2"/>
  <c r="F19" i="2"/>
  <c r="G20" i="2"/>
  <c r="F20" i="2"/>
  <c r="G21" i="2"/>
  <c r="F21" i="2"/>
  <c r="G22" i="2"/>
  <c r="F22" i="2"/>
</calcChain>
</file>

<file path=xl/sharedStrings.xml><?xml version="1.0" encoding="utf-8"?>
<sst xmlns="http://schemas.openxmlformats.org/spreadsheetml/2006/main" count="123" uniqueCount="66">
  <si>
    <t>2^3 Screening Design: Factor Levels and Objective Values</t>
  </si>
  <si>
    <t>Design point</t>
  </si>
  <si>
    <t>F1 urgent sign</t>
  </si>
  <si>
    <t>F1 urgent value</t>
  </si>
  <si>
    <t>F2 strategy sign</t>
  </si>
  <si>
    <t>F2 strategy value</t>
  </si>
  <si>
    <t>F3 rule sign</t>
  </si>
  <si>
    <t>F3 rule value</t>
  </si>
  <si>
    <t>Batch 1</t>
  </si>
  <si>
    <t>Batch 2</t>
  </si>
  <si>
    <t>Batch 3</t>
  </si>
  <si>
    <t>Batch 4</t>
  </si>
  <si>
    <t>Batch 5</t>
  </si>
  <si>
    <t>Batch 6</t>
  </si>
  <si>
    <t>Batch 7</t>
  </si>
  <si>
    <t>Batch 8</t>
  </si>
  <si>
    <t>Average</t>
  </si>
  <si>
    <t>-</t>
  </si>
  <si>
    <t>+</t>
  </si>
  <si>
    <t>Main and Interaction Effects per Batch</t>
  </si>
  <si>
    <t>Batch</t>
  </si>
  <si>
    <t>e1 urgent slots</t>
  </si>
  <si>
    <t>e2 strategy</t>
  </si>
  <si>
    <t>e3 rule</t>
  </si>
  <si>
    <t>e12 urgent×strategy</t>
  </si>
  <si>
    <t>e13 urgent×rule</t>
  </si>
  <si>
    <t>e23 strategy×rule</t>
  </si>
  <si>
    <t>e123</t>
  </si>
  <si>
    <t>95% Confidence Intervals for Effects</t>
  </si>
  <si>
    <t>Effect</t>
  </si>
  <si>
    <t>Mean</t>
  </si>
  <si>
    <t>Std</t>
  </si>
  <si>
    <t>95% CI half-width</t>
  </si>
  <si>
    <t>CI lower</t>
  </si>
  <si>
    <t>CI upper</t>
  </si>
  <si>
    <t>Significant?</t>
  </si>
  <si>
    <t>YES</t>
  </si>
  <si>
    <t>NO</t>
  </si>
  <si>
    <t>e12 urgent × strategy</t>
  </si>
  <si>
    <t>e13 urgent × rule</t>
  </si>
  <si>
    <t>e23 strategy × rule</t>
  </si>
  <si>
    <t>e123 three-way</t>
  </si>
  <si>
    <t>Screening Design Graphs: Main Effects and Interaction Effects</t>
  </si>
  <si>
    <t>MAIN EFFECTS</t>
  </si>
  <si>
    <t>Level</t>
  </si>
  <si>
    <t>OV</t>
  </si>
  <si>
    <t>urgent slots</t>
  </si>
  <si>
    <t>strategy</t>
  </si>
  <si>
    <t>rule</t>
  </si>
  <si>
    <t>INTERACTION EFFECTS</t>
  </si>
  <si>
    <t>Interaction urgent slots × strategy | rule = - (1)</t>
  </si>
  <si>
    <t>Interaction urgent slots × strategy | rule = + (2)</t>
  </si>
  <si>
    <t>strategy -</t>
  </si>
  <si>
    <t>strategy +</t>
  </si>
  <si>
    <t>fixed rule</t>
  </si>
  <si>
    <t>Interaction urgent slots × rule | strategy = - (1)</t>
  </si>
  <si>
    <t>Interaction urgent slots × rule | strategy = + (2)</t>
  </si>
  <si>
    <t>rule -</t>
  </si>
  <si>
    <t>rule +</t>
  </si>
  <si>
    <t>fixed strategy</t>
  </si>
  <si>
    <t>Interaction strategy × rule | urgent slots = - (13)</t>
  </si>
  <si>
    <t>Interaction strategy × rule | urgent slots = + (16)</t>
  </si>
  <si>
    <t>fixed urgent slots</t>
  </si>
  <si>
    <t>THREE-WAY INTERACTION</t>
  </si>
  <si>
    <t>3-way interaction is interpreted by comparing the two 2-way interaction plots above. If the interaction pattern changes when the third factor switches from '-' to '+', a 3-way interaction is present.</t>
  </si>
  <si>
    <t>T-SCORE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</si>
</sst>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#,##0.0000000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1F4E79"/>
      <name val="Arial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164" fontId="0" fillId="0" borderId="0" xfId="0" applyNumberFormat="1"/>
    <xf numFmtId="0" fontId="6" fillId="4" borderId="0" xfId="1"/>
    <xf numFmtId="0" fontId="7" fillId="5" borderId="0" xfId="2"/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3">
    <cellStyle name="Goed" xfId="1" builtinId="26"/>
    <cellStyle name="Ongeldig" xfId="2" builtinId="27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urgent slots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plots'!$C$5:$C$6</c:f>
              <c:numCache>
                <c:formatCode>General</c:formatCode>
                <c:ptCount val="2"/>
                <c:pt idx="0">
                  <c:v>13</c:v>
                </c:pt>
                <c:pt idx="1">
                  <c:v>16</c:v>
                </c:pt>
              </c:numCache>
            </c:numRef>
          </c:cat>
          <c:val>
            <c:numRef>
              <c:f>'Screening plots'!$B$5:$B$6</c:f>
              <c:numCache>
                <c:formatCode>#,##0.00000</c:formatCode>
                <c:ptCount val="2"/>
                <c:pt idx="0">
                  <c:v>0.4299418177710661</c:v>
                </c:pt>
                <c:pt idx="1">
                  <c:v>0.5074552530526335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BD1-AF47-A966-A3DC115C7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strategy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plots'!$G$5:$G$6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plots'!$F$5:$F$6</c:f>
              <c:numCache>
                <c:formatCode>#,##0.00000</c:formatCode>
                <c:ptCount val="2"/>
                <c:pt idx="0">
                  <c:v>0.49252233782119992</c:v>
                </c:pt>
                <c:pt idx="1">
                  <c:v>0.44487473300249958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ECD-5440-B390-480E6BAF9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rule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plots'!$J$4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plots'!$K$5:$K$6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plots'!$J$5:$J$6</c:f>
              <c:numCache>
                <c:formatCode>#,##0.00000</c:formatCode>
                <c:ptCount val="2"/>
                <c:pt idx="0">
                  <c:v>0.46897502284881959</c:v>
                </c:pt>
                <c:pt idx="1">
                  <c:v>0.46842204797488002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4F3-804F-BEE4-99F7235B4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strategy | rule=-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13</c:v>
                </c:pt>
                <c:pt idx="1">
                  <c:v>16</c:v>
                </c:pt>
              </c:numCache>
            </c:numRef>
          </c:cat>
          <c:val>
            <c:numRef>
              <c:f>'Screening plots'!$B$29:$B$30</c:f>
              <c:numCache>
                <c:formatCode>#,##0.00000</c:formatCode>
                <c:ptCount val="2"/>
                <c:pt idx="0">
                  <c:v>0.45419141367340488</c:v>
                </c:pt>
                <c:pt idx="1">
                  <c:v>0.53103584754665389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8C7-6842-9043-04C81EFAC12B}"/>
            </c:ext>
          </c:extLst>
        </c:ser>
        <c:ser>
          <c:idx val="1"/>
          <c:order val="1"/>
          <c:tx>
            <c:strRef>
              <c:f>'Screening plots'!$C$28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13</c:v>
                </c:pt>
                <c:pt idx="1">
                  <c:v>16</c:v>
                </c:pt>
              </c:numCache>
            </c:numRef>
          </c:cat>
          <c:val>
            <c:numRef>
              <c:f>'Screening plots'!$C$29:$C$30</c:f>
              <c:numCache>
                <c:formatCode>#,##0.00000</c:formatCode>
                <c:ptCount val="2"/>
                <c:pt idx="0">
                  <c:v>0.40680295826243318</c:v>
                </c:pt>
                <c:pt idx="1">
                  <c:v>0.48386987191278658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8C7-6842-9043-04C81EFAC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strategy | rule=+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13</c:v>
                </c:pt>
                <c:pt idx="1">
                  <c:v>16</c:v>
                </c:pt>
              </c:numCache>
            </c:numRef>
          </c:cat>
          <c:val>
            <c:numRef>
              <c:f>'Screening plots'!$F$29:$F$30</c:f>
              <c:numCache>
                <c:formatCode>#,##0.00000</c:formatCode>
                <c:ptCount val="2"/>
                <c:pt idx="0">
                  <c:v>0.4525393963902074</c:v>
                </c:pt>
                <c:pt idx="1">
                  <c:v>0.53232269367453366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E9F-1340-8F0E-6FBFC1383C76}"/>
            </c:ext>
          </c:extLst>
        </c:ser>
        <c:ser>
          <c:idx val="1"/>
          <c:order val="1"/>
          <c:tx>
            <c:strRef>
              <c:f>'Screening plots'!$G$28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13</c:v>
                </c:pt>
                <c:pt idx="1">
                  <c:v>16</c:v>
                </c:pt>
              </c:numCache>
            </c:numRef>
          </c:cat>
          <c:val>
            <c:numRef>
              <c:f>'Screening plots'!$G$29:$G$30</c:f>
              <c:numCache>
                <c:formatCode>#,##0.00000</c:formatCode>
                <c:ptCount val="2"/>
                <c:pt idx="0">
                  <c:v>0.40623350275821901</c:v>
                </c:pt>
                <c:pt idx="1">
                  <c:v>0.48259259907655971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E9F-1340-8F0E-6FBFC1383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rule | strategy=-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13</c:v>
                </c:pt>
                <c:pt idx="1">
                  <c:v>16</c:v>
                </c:pt>
              </c:numCache>
            </c:numRef>
          </c:cat>
          <c:val>
            <c:numRef>
              <c:f>'Screening plots'!$B$54:$B$55</c:f>
              <c:numCache>
                <c:formatCode>#,##0.00000</c:formatCode>
                <c:ptCount val="2"/>
                <c:pt idx="0">
                  <c:v>0.45419141367340488</c:v>
                </c:pt>
                <c:pt idx="1">
                  <c:v>0.53103584754665389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DC-0746-A753-EF6631F9E7D9}"/>
            </c:ext>
          </c:extLst>
        </c:ser>
        <c:ser>
          <c:idx val="1"/>
          <c:order val="1"/>
          <c:tx>
            <c:strRef>
              <c:f>'Screening plots'!$C$53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13</c:v>
                </c:pt>
                <c:pt idx="1">
                  <c:v>16</c:v>
                </c:pt>
              </c:numCache>
            </c:numRef>
          </c:cat>
          <c:val>
            <c:numRef>
              <c:f>'Screening plots'!$C$54:$C$55</c:f>
              <c:numCache>
                <c:formatCode>#,##0.00000</c:formatCode>
                <c:ptCount val="2"/>
                <c:pt idx="0">
                  <c:v>0.4525393963902074</c:v>
                </c:pt>
                <c:pt idx="1">
                  <c:v>0.53232269367453366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EDC-0746-A753-EF6631F9E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rule | strategy=+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13</c:v>
                </c:pt>
                <c:pt idx="1">
                  <c:v>16</c:v>
                </c:pt>
              </c:numCache>
            </c:numRef>
          </c:cat>
          <c:val>
            <c:numRef>
              <c:f>'Screening plots'!$F$54:$F$55</c:f>
              <c:numCache>
                <c:formatCode>#,##0.00000</c:formatCode>
                <c:ptCount val="2"/>
                <c:pt idx="0">
                  <c:v>0.40680295826243318</c:v>
                </c:pt>
                <c:pt idx="1">
                  <c:v>0.48386987191278658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0B9-4D42-B054-CE60B6B92F59}"/>
            </c:ext>
          </c:extLst>
        </c:ser>
        <c:ser>
          <c:idx val="1"/>
          <c:order val="1"/>
          <c:tx>
            <c:strRef>
              <c:f>'Screening plots'!$G$53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13</c:v>
                </c:pt>
                <c:pt idx="1">
                  <c:v>16</c:v>
                </c:pt>
              </c:numCache>
            </c:numRef>
          </c:cat>
          <c:val>
            <c:numRef>
              <c:f>'Screening plots'!$G$54:$G$55</c:f>
              <c:numCache>
                <c:formatCode>#,##0.00000</c:formatCode>
                <c:ptCount val="2"/>
                <c:pt idx="0">
                  <c:v>0.40623350275821901</c:v>
                </c:pt>
                <c:pt idx="1">
                  <c:v>0.48259259907655971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0B9-4D42-B054-CE60B6B92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× rule | urgent slots=-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plots'!$B$79:$B$80</c:f>
              <c:numCache>
                <c:formatCode>#,##0.00000</c:formatCode>
                <c:ptCount val="2"/>
                <c:pt idx="0">
                  <c:v>0.45419141367340488</c:v>
                </c:pt>
                <c:pt idx="1">
                  <c:v>0.40680295826243318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F75-2441-9D76-C416930A890E}"/>
            </c:ext>
          </c:extLst>
        </c:ser>
        <c:ser>
          <c:idx val="1"/>
          <c:order val="1"/>
          <c:tx>
            <c:strRef>
              <c:f>'Screening plots'!$C$78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plots'!$C$79:$C$80</c:f>
              <c:numCache>
                <c:formatCode>#,##0.00000</c:formatCode>
                <c:ptCount val="2"/>
                <c:pt idx="0">
                  <c:v>0.4525393963902074</c:v>
                </c:pt>
                <c:pt idx="1">
                  <c:v>0.40623350275821901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F75-2441-9D76-C416930A8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× rule | urgent slots=+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plots'!$F$79:$F$80</c:f>
              <c:numCache>
                <c:formatCode>#,##0.00000</c:formatCode>
                <c:ptCount val="2"/>
                <c:pt idx="0">
                  <c:v>0.53103584754665389</c:v>
                </c:pt>
                <c:pt idx="1">
                  <c:v>0.48386987191278658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6AF-384D-AA26-C37AD1759BB3}"/>
            </c:ext>
          </c:extLst>
        </c:ser>
        <c:ser>
          <c:idx val="1"/>
          <c:order val="1"/>
          <c:tx>
            <c:strRef>
              <c:f>'Screening plots'!$G$78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plots'!$G$79:$G$80</c:f>
              <c:numCache>
                <c:formatCode>#,##0.00000</c:formatCode>
                <c:ptCount val="2"/>
                <c:pt idx="0">
                  <c:v>0.53232269367453366</c:v>
                </c:pt>
                <c:pt idx="1">
                  <c:v>0.48259259907655971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6AF-384D-AA26-C37AD1759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2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7</xdr:row>
      <xdr:rowOff>0</xdr:rowOff>
    </xdr:from>
    <xdr:ext cx="522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7</xdr:row>
      <xdr:rowOff>0</xdr:rowOff>
    </xdr:from>
    <xdr:ext cx="522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522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</xdr:col>
      <xdr:colOff>0</xdr:colOff>
      <xdr:row>32</xdr:row>
      <xdr:rowOff>0</xdr:rowOff>
    </xdr:from>
    <xdr:ext cx="5220000" cy="30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57</xdr:row>
      <xdr:rowOff>0</xdr:rowOff>
    </xdr:from>
    <xdr:ext cx="5220000" cy="30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4</xdr:col>
      <xdr:colOff>0</xdr:colOff>
      <xdr:row>57</xdr:row>
      <xdr:rowOff>0</xdr:rowOff>
    </xdr:from>
    <xdr:ext cx="5220000" cy="30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82</xdr:row>
      <xdr:rowOff>0</xdr:rowOff>
    </xdr:from>
    <xdr:ext cx="5220000" cy="306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4</xdr:col>
      <xdr:colOff>0</xdr:colOff>
      <xdr:row>82</xdr:row>
      <xdr:rowOff>0</xdr:rowOff>
    </xdr:from>
    <xdr:ext cx="5220000" cy="306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workbookViewId="0">
      <pane ySplit="3" topLeftCell="A4" activePane="bottomLeft" state="frozen"/>
      <selection pane="bottomLeft" sqref="A1:P1"/>
    </sheetView>
  </sheetViews>
  <sheetFormatPr baseColWidth="10" defaultColWidth="8.83203125" defaultRowHeight="15" x14ac:dyDescent="0.2"/>
  <cols>
    <col min="1" max="1" width="14" customWidth="1"/>
    <col min="2" max="4" width="16" customWidth="1"/>
    <col min="5" max="15" width="14" customWidth="1"/>
    <col min="16" max="16" width="16" customWidth="1"/>
  </cols>
  <sheetData>
    <row r="1" spans="1:16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3" spans="1:16" ht="2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 x14ac:dyDescent="0.2">
      <c r="A4" s="2">
        <v>1</v>
      </c>
      <c r="B4" s="3" t="s">
        <v>17</v>
      </c>
      <c r="C4" s="3">
        <v>13</v>
      </c>
      <c r="D4" s="3" t="s">
        <v>17</v>
      </c>
      <c r="E4" s="3">
        <v>1</v>
      </c>
      <c r="F4" s="3" t="s">
        <v>17</v>
      </c>
      <c r="G4" s="3">
        <v>1</v>
      </c>
      <c r="H4" s="4">
        <v>0.46871363370108382</v>
      </c>
      <c r="I4" s="4">
        <v>0.44420855325140812</v>
      </c>
      <c r="J4" s="4">
        <v>0.45298698512635582</v>
      </c>
      <c r="K4" s="4">
        <v>0.44494537068235968</v>
      </c>
      <c r="L4" s="4">
        <v>0.45579053389542579</v>
      </c>
      <c r="M4" s="4">
        <v>0.46148872002222041</v>
      </c>
      <c r="N4" s="4">
        <v>0.45073000217622561</v>
      </c>
      <c r="O4" s="4">
        <v>0.45466751053216031</v>
      </c>
      <c r="P4" s="4">
        <v>0.45419141367340488</v>
      </c>
    </row>
    <row r="5" spans="1:16" x14ac:dyDescent="0.2">
      <c r="A5" s="2">
        <v>2</v>
      </c>
      <c r="B5" s="3" t="s">
        <v>18</v>
      </c>
      <c r="C5" s="3">
        <v>16</v>
      </c>
      <c r="D5" s="3" t="s">
        <v>17</v>
      </c>
      <c r="E5" s="3">
        <v>1</v>
      </c>
      <c r="F5" s="3" t="s">
        <v>17</v>
      </c>
      <c r="G5" s="3">
        <v>1</v>
      </c>
      <c r="H5" s="4">
        <v>0.51603426179056555</v>
      </c>
      <c r="I5" s="4">
        <v>0.53243398441768275</v>
      </c>
      <c r="J5" s="4">
        <v>0.50338351721836683</v>
      </c>
      <c r="K5" s="4">
        <v>0.54721855889828841</v>
      </c>
      <c r="L5" s="4">
        <v>0.54298647308679449</v>
      </c>
      <c r="M5" s="4">
        <v>0.55700625509382773</v>
      </c>
      <c r="N5" s="4">
        <v>0.51800088768619046</v>
      </c>
      <c r="O5" s="4">
        <v>0.5312228421815145</v>
      </c>
      <c r="P5" s="4">
        <v>0.53103584754665389</v>
      </c>
    </row>
    <row r="6" spans="1:16" x14ac:dyDescent="0.2">
      <c r="A6" s="2">
        <v>3</v>
      </c>
      <c r="B6" s="3" t="s">
        <v>17</v>
      </c>
      <c r="C6" s="3">
        <v>13</v>
      </c>
      <c r="D6" s="3" t="s">
        <v>18</v>
      </c>
      <c r="E6" s="3">
        <v>2</v>
      </c>
      <c r="F6" s="3" t="s">
        <v>17</v>
      </c>
      <c r="G6" s="3">
        <v>1</v>
      </c>
      <c r="H6" s="4">
        <v>0.41512242923217368</v>
      </c>
      <c r="I6" s="4">
        <v>0.40855329278160452</v>
      </c>
      <c r="J6" s="4">
        <v>0.41340173774391747</v>
      </c>
      <c r="K6" s="4">
        <v>0.40431060141956421</v>
      </c>
      <c r="L6" s="4">
        <v>0.38562681630978118</v>
      </c>
      <c r="M6" s="4">
        <v>0.40800431701639239</v>
      </c>
      <c r="N6" s="4">
        <v>0.4137502906638843</v>
      </c>
      <c r="O6" s="4">
        <v>0.40565418093214811</v>
      </c>
      <c r="P6" s="4">
        <v>0.40680295826243318</v>
      </c>
    </row>
    <row r="7" spans="1:16" x14ac:dyDescent="0.2">
      <c r="A7" s="2">
        <v>4</v>
      </c>
      <c r="B7" s="3" t="s">
        <v>18</v>
      </c>
      <c r="C7" s="3">
        <v>16</v>
      </c>
      <c r="D7" s="3" t="s">
        <v>18</v>
      </c>
      <c r="E7" s="3">
        <v>2</v>
      </c>
      <c r="F7" s="3" t="s">
        <v>17</v>
      </c>
      <c r="G7" s="3">
        <v>1</v>
      </c>
      <c r="H7" s="4">
        <v>0.47097214950027783</v>
      </c>
      <c r="I7" s="4">
        <v>0.48345912438516409</v>
      </c>
      <c r="J7" s="4">
        <v>0.45440135195469677</v>
      </c>
      <c r="K7" s="4">
        <v>0.5100460430889634</v>
      </c>
      <c r="L7" s="4">
        <v>0.49269533845902108</v>
      </c>
      <c r="M7" s="4">
        <v>0.50935640507144342</v>
      </c>
      <c r="N7" s="4">
        <v>0.47208850451612711</v>
      </c>
      <c r="O7" s="4">
        <v>0.47794005832659892</v>
      </c>
      <c r="P7" s="4">
        <v>0.48386987191278658</v>
      </c>
    </row>
    <row r="8" spans="1:16" x14ac:dyDescent="0.2">
      <c r="A8" s="2">
        <v>5</v>
      </c>
      <c r="B8" s="3" t="s">
        <v>17</v>
      </c>
      <c r="C8" s="3">
        <v>13</v>
      </c>
      <c r="D8" s="3" t="s">
        <v>17</v>
      </c>
      <c r="E8" s="3">
        <v>1</v>
      </c>
      <c r="F8" s="3" t="s">
        <v>18</v>
      </c>
      <c r="G8" s="3">
        <v>2</v>
      </c>
      <c r="H8" s="4">
        <v>0.46706800875154653</v>
      </c>
      <c r="I8" s="4">
        <v>0.4426715651607292</v>
      </c>
      <c r="J8" s="4">
        <v>0.45124606347462992</v>
      </c>
      <c r="K8" s="4">
        <v>0.44329858251899751</v>
      </c>
      <c r="L8" s="4">
        <v>0.45448323967827919</v>
      </c>
      <c r="M8" s="4">
        <v>0.46025239948834051</v>
      </c>
      <c r="N8" s="4">
        <v>0.44897099428576381</v>
      </c>
      <c r="O8" s="4">
        <v>0.45232431776337262</v>
      </c>
      <c r="P8" s="4">
        <v>0.4525393963902074</v>
      </c>
    </row>
    <row r="9" spans="1:16" x14ac:dyDescent="0.2">
      <c r="A9" s="2">
        <v>6</v>
      </c>
      <c r="B9" s="3" t="s">
        <v>18</v>
      </c>
      <c r="C9" s="3">
        <v>16</v>
      </c>
      <c r="D9" s="3" t="s">
        <v>17</v>
      </c>
      <c r="E9" s="3">
        <v>1</v>
      </c>
      <c r="F9" s="3" t="s">
        <v>18</v>
      </c>
      <c r="G9" s="3">
        <v>2</v>
      </c>
      <c r="H9" s="4">
        <v>0.53306426234700277</v>
      </c>
      <c r="I9" s="4">
        <v>0.52427186233420486</v>
      </c>
      <c r="J9" s="4">
        <v>0.49826495758213402</v>
      </c>
      <c r="K9" s="4">
        <v>0.51194938173838556</v>
      </c>
      <c r="L9" s="4">
        <v>0.57577720966642842</v>
      </c>
      <c r="M9" s="4">
        <v>0.58256698201502966</v>
      </c>
      <c r="N9" s="4">
        <v>0.51314855609533194</v>
      </c>
      <c r="O9" s="4">
        <v>0.5195383376177517</v>
      </c>
      <c r="P9" s="4">
        <v>0.53232269367453366</v>
      </c>
    </row>
    <row r="10" spans="1:16" x14ac:dyDescent="0.2">
      <c r="A10" s="2">
        <v>7</v>
      </c>
      <c r="B10" s="3" t="s">
        <v>17</v>
      </c>
      <c r="C10" s="3">
        <v>13</v>
      </c>
      <c r="D10" s="3" t="s">
        <v>18</v>
      </c>
      <c r="E10" s="3">
        <v>2</v>
      </c>
      <c r="F10" s="3" t="s">
        <v>18</v>
      </c>
      <c r="G10" s="3">
        <v>2</v>
      </c>
      <c r="H10" s="4">
        <v>0.41498660142026278</v>
      </c>
      <c r="I10" s="4">
        <v>0.40713143278026209</v>
      </c>
      <c r="J10" s="4">
        <v>0.41348580423385289</v>
      </c>
      <c r="K10" s="4">
        <v>0.40348532267118198</v>
      </c>
      <c r="L10" s="4">
        <v>0.38459038802382162</v>
      </c>
      <c r="M10" s="4">
        <v>0.40745107432617539</v>
      </c>
      <c r="N10" s="4">
        <v>0.41335197863298317</v>
      </c>
      <c r="O10" s="4">
        <v>0.40538541997721178</v>
      </c>
      <c r="P10" s="4">
        <v>0.40623350275821901</v>
      </c>
    </row>
    <row r="11" spans="1:16" x14ac:dyDescent="0.2">
      <c r="A11" s="2">
        <v>8</v>
      </c>
      <c r="B11" s="3" t="s">
        <v>18</v>
      </c>
      <c r="C11" s="3">
        <v>16</v>
      </c>
      <c r="D11" s="3" t="s">
        <v>18</v>
      </c>
      <c r="E11" s="3">
        <v>2</v>
      </c>
      <c r="F11" s="3" t="s">
        <v>18</v>
      </c>
      <c r="G11" s="3">
        <v>2</v>
      </c>
      <c r="H11" s="4">
        <v>0.46960664889985038</v>
      </c>
      <c r="I11" s="4">
        <v>0.48189150385360507</v>
      </c>
      <c r="J11" s="4">
        <v>0.45294502259830288</v>
      </c>
      <c r="K11" s="4">
        <v>0.5087137568443556</v>
      </c>
      <c r="L11" s="4">
        <v>0.49159499810900931</v>
      </c>
      <c r="M11" s="4">
        <v>0.50805858350243083</v>
      </c>
      <c r="N11" s="4">
        <v>0.47108941690265782</v>
      </c>
      <c r="O11" s="4">
        <v>0.47684086190226582</v>
      </c>
      <c r="P11" s="4">
        <v>0.48259259907655971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abSelected="1" topLeftCell="B1" zoomScale="110" workbookViewId="0">
      <pane ySplit="3" topLeftCell="A7" activePane="bottomLeft" state="frozen"/>
      <selection pane="bottomLeft" activeCell="D15" sqref="D15:H22"/>
    </sheetView>
  </sheetViews>
  <sheetFormatPr baseColWidth="10" defaultColWidth="8.83203125" defaultRowHeight="15" x14ac:dyDescent="0.2"/>
  <cols>
    <col min="1" max="1" width="12" customWidth="1"/>
    <col min="2" max="4" width="18" customWidth="1"/>
    <col min="5" max="8" width="22" customWidth="1"/>
  </cols>
  <sheetData>
    <row r="1" spans="1:8" x14ac:dyDescent="0.2">
      <c r="A1" s="13" t="s">
        <v>19</v>
      </c>
      <c r="B1" s="14"/>
      <c r="C1" s="14"/>
      <c r="D1" s="14"/>
      <c r="E1" s="14"/>
      <c r="F1" s="14"/>
      <c r="G1" s="14"/>
      <c r="H1" s="14"/>
    </row>
    <row r="3" spans="1:8" x14ac:dyDescent="0.2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</row>
    <row r="4" spans="1:8" x14ac:dyDescent="0.2">
      <c r="A4" s="3">
        <v>1</v>
      </c>
      <c r="B4" s="4">
        <v>5.5946662358157428E-2</v>
      </c>
      <c r="C4" s="4">
        <v>-5.3548084384408473E-2</v>
      </c>
      <c r="D4" s="4">
        <v>3.4707617986403372E-3</v>
      </c>
      <c r="E4" s="4">
        <v>-7.1177848431161483E-4</v>
      </c>
      <c r="F4" s="4">
        <v>4.3614881793645199E-3</v>
      </c>
      <c r="G4" s="4">
        <v>-4.2214260048095984E-3</v>
      </c>
      <c r="H4" s="4">
        <v>-4.9763245736227368E-3</v>
      </c>
    </row>
    <row r="5" spans="1:8" x14ac:dyDescent="0.2">
      <c r="A5" s="3">
        <v>2</v>
      </c>
      <c r="B5" s="4">
        <v>7.9872907754163239E-2</v>
      </c>
      <c r="C5" s="4">
        <v>-4.0637652840847277E-2</v>
      </c>
      <c r="D5" s="4">
        <v>-3.1721476767645751E-3</v>
      </c>
      <c r="E5" s="4">
        <v>-5.0399564157119214E-3</v>
      </c>
      <c r="F5" s="4">
        <v>-1.6927236307538731E-3</v>
      </c>
      <c r="G5" s="4">
        <v>1.6774074103138299E-3</v>
      </c>
      <c r="H5" s="4">
        <v>1.6198433656455929E-3</v>
      </c>
    </row>
    <row r="6" spans="1:8" x14ac:dyDescent="0.2">
      <c r="A6" s="3">
        <v>3</v>
      </c>
      <c r="B6" s="4">
        <v>4.4468564693686097E-2</v>
      </c>
      <c r="C6" s="4">
        <v>-4.2911901717679127E-2</v>
      </c>
      <c r="D6" s="4">
        <v>-2.0579360386042832E-3</v>
      </c>
      <c r="E6" s="4">
        <v>-4.2391484060714801E-3</v>
      </c>
      <c r="F6" s="4">
        <v>-1.2295084577090549E-3</v>
      </c>
      <c r="G6" s="4">
        <v>1.3718046053751019E-3</v>
      </c>
      <c r="H6" s="4">
        <v>4.5931053454437149E-4</v>
      </c>
    </row>
    <row r="7" spans="1:8" x14ac:dyDescent="0.2">
      <c r="A7" s="3">
        <v>4</v>
      </c>
      <c r="B7" s="4">
        <v>9.5471965819472412E-2</v>
      </c>
      <c r="C7" s="4">
        <v>-3.021404245349155E-2</v>
      </c>
      <c r="D7" s="4">
        <v>-9.768382579063789E-3</v>
      </c>
      <c r="E7" s="4">
        <v>1.000997210181402E-2</v>
      </c>
      <c r="F7" s="4">
        <v>-8.5323491231915904E-3</v>
      </c>
      <c r="G7" s="4">
        <v>8.6896000825687769E-3</v>
      </c>
      <c r="H7" s="4">
        <v>8.2788453750787666E-3</v>
      </c>
    </row>
    <row r="8" spans="1:8" x14ac:dyDescent="0.2">
      <c r="A8" s="3">
        <v>5</v>
      </c>
      <c r="B8" s="4">
        <v>0.10564076035348639</v>
      </c>
      <c r="C8" s="4">
        <v>-6.86324788563238E-2</v>
      </c>
      <c r="D8" s="4">
        <v>7.3366684316289446E-3</v>
      </c>
      <c r="E8" s="4">
        <v>1.3958057637274419E-3</v>
      </c>
      <c r="F8" s="4">
        <v>8.5085296831820811E-3</v>
      </c>
      <c r="G8" s="4">
        <v>-8.405052749614686E-3</v>
      </c>
      <c r="H8" s="4">
        <v>-8.5404857152081709E-3</v>
      </c>
    </row>
    <row r="9" spans="1:8" x14ac:dyDescent="0.2">
      <c r="A9" s="3">
        <v>6</v>
      </c>
      <c r="B9" s="4">
        <v>0.1049479287074007</v>
      </c>
      <c r="C9" s="4">
        <v>-5.7110994175744029E-2</v>
      </c>
      <c r="D9" s="4">
        <v>5.6183355320230943E-3</v>
      </c>
      <c r="E9" s="4">
        <v>-3.9681300917475404E-3</v>
      </c>
      <c r="F9" s="4">
        <v>6.5131171440715452E-3</v>
      </c>
      <c r="G9" s="4">
        <v>-6.5438676616378644E-3</v>
      </c>
      <c r="H9" s="4">
        <v>-6.885406583469339E-3</v>
      </c>
    </row>
    <row r="10" spans="1:8" x14ac:dyDescent="0.2">
      <c r="A10" s="3">
        <v>7</v>
      </c>
      <c r="B10" s="4">
        <v>6.1881024860362593E-2</v>
      </c>
      <c r="C10" s="4">
        <v>-4.0142562381964828E-2</v>
      </c>
      <c r="D10" s="4">
        <v>-2.002184781422708E-3</v>
      </c>
      <c r="E10" s="4">
        <v>-3.8431987994039241E-3</v>
      </c>
      <c r="F10" s="4">
        <v>-9.2352482074124775E-4</v>
      </c>
      <c r="G10" s="4">
        <v>1.303484959237447E-3</v>
      </c>
      <c r="H10" s="4">
        <v>6.2313702945712701E-4</v>
      </c>
    </row>
    <row r="11" spans="1:8" x14ac:dyDescent="0.2">
      <c r="A11" s="3">
        <v>8</v>
      </c>
      <c r="B11" s="4">
        <v>7.1877667705809528E-2</v>
      </c>
      <c r="C11" s="4">
        <v>-4.7983121739143583E-2</v>
      </c>
      <c r="D11" s="4">
        <v>-3.8489136779549381E-3</v>
      </c>
      <c r="E11" s="4">
        <v>-7.0080460571331224E-6</v>
      </c>
      <c r="F11" s="4">
        <v>-2.5429368160929809E-3</v>
      </c>
      <c r="G11" s="4">
        <v>3.164934988320225E-3</v>
      </c>
      <c r="H11" s="4">
        <v>2.1277190813945861E-3</v>
      </c>
    </row>
    <row r="14" spans="1:8" x14ac:dyDescent="0.2">
      <c r="A14" s="15" t="s">
        <v>28</v>
      </c>
      <c r="B14" s="14"/>
      <c r="C14" s="14"/>
      <c r="D14" s="14"/>
      <c r="E14" s="14"/>
      <c r="F14" s="14"/>
      <c r="G14" s="14"/>
    </row>
    <row r="15" spans="1:8" x14ac:dyDescent="0.2">
      <c r="A15" s="1" t="s">
        <v>29</v>
      </c>
      <c r="B15" s="1" t="s">
        <v>30</v>
      </c>
      <c r="C15" s="1" t="s">
        <v>31</v>
      </c>
      <c r="D15" s="8" t="s">
        <v>65</v>
      </c>
      <c r="E15" s="1" t="s">
        <v>32</v>
      </c>
      <c r="F15" s="1" t="s">
        <v>33</v>
      </c>
      <c r="G15" s="1" t="s">
        <v>34</v>
      </c>
      <c r="H15" s="1" t="s">
        <v>35</v>
      </c>
    </row>
    <row r="16" spans="1:8" ht="28" x14ac:dyDescent="0.2">
      <c r="A16" s="5" t="s">
        <v>21</v>
      </c>
      <c r="B16" s="4">
        <v>7.7513435281567303E-2</v>
      </c>
      <c r="C16" s="4">
        <v>2.3006511726987231E-2</v>
      </c>
      <c r="D16" s="4">
        <f>_xlfn.T.INV.2T(0.1/7,7)</f>
        <v>3.2383460877280466</v>
      </c>
      <c r="E16" s="4">
        <f>C16*D16/SQRT(4)</f>
        <v>3.7251523621679265E-2</v>
      </c>
      <c r="F16" s="4">
        <f>B16-E16</f>
        <v>4.0261911659888037E-2</v>
      </c>
      <c r="G16" s="9">
        <f>B16+E16</f>
        <v>0.11476495890324656</v>
      </c>
      <c r="H16" s="10" t="s">
        <v>36</v>
      </c>
    </row>
    <row r="17" spans="1:8" ht="16" x14ac:dyDescent="0.2">
      <c r="A17" s="5" t="s">
        <v>22</v>
      </c>
      <c r="B17" s="4">
        <v>-4.764760481870034E-2</v>
      </c>
      <c r="C17" s="4">
        <v>1.1932368801582331E-2</v>
      </c>
      <c r="D17" s="4">
        <f t="shared" ref="D17:D22" si="0">_xlfn.T.INV.2T(0.1/7,7)</f>
        <v>3.2383460877280466</v>
      </c>
      <c r="E17" s="4">
        <f t="shared" ref="E17:E22" si="1">C17*D17/SQRT(4)</f>
        <v>1.9320569912966171E-2</v>
      </c>
      <c r="F17" s="4">
        <f t="shared" ref="F17:F21" si="2">B17-E17</f>
        <v>-6.696817473166651E-2</v>
      </c>
      <c r="G17" s="9">
        <f t="shared" ref="G17:G22" si="3">B17+E17</f>
        <v>-2.8327034905734169E-2</v>
      </c>
      <c r="H17" s="10" t="s">
        <v>36</v>
      </c>
    </row>
    <row r="18" spans="1:8" ht="16" x14ac:dyDescent="0.2">
      <c r="A18" s="5" t="s">
        <v>23</v>
      </c>
      <c r="B18" s="4">
        <v>-5.529748739397395E-4</v>
      </c>
      <c r="C18" s="4">
        <v>5.6509687643768666E-3</v>
      </c>
      <c r="D18" s="4">
        <f t="shared" si="0"/>
        <v>3.2383460877280466</v>
      </c>
      <c r="E18" s="4">
        <f t="shared" si="1"/>
        <v>9.1498962949966098E-3</v>
      </c>
      <c r="F18" s="4">
        <f t="shared" si="2"/>
        <v>-9.7028711689363493E-3</v>
      </c>
      <c r="G18" s="9">
        <f t="shared" si="3"/>
        <v>8.5969214210568703E-3</v>
      </c>
      <c r="H18" s="11" t="s">
        <v>37</v>
      </c>
    </row>
    <row r="19" spans="1:8" ht="28" x14ac:dyDescent="0.2">
      <c r="A19" s="5" t="s">
        <v>38</v>
      </c>
      <c r="B19" s="4">
        <v>-8.0043029722026877E-4</v>
      </c>
      <c r="C19" s="4">
        <v>4.9485460630178963E-3</v>
      </c>
      <c r="D19" s="4">
        <f t="shared" si="0"/>
        <v>3.2383460877280466</v>
      </c>
      <c r="E19" s="4">
        <f t="shared" si="1"/>
        <v>8.0125523915580161E-3</v>
      </c>
      <c r="F19" s="4">
        <f t="shared" si="2"/>
        <v>-8.8129826887782849E-3</v>
      </c>
      <c r="G19" s="9">
        <f t="shared" si="3"/>
        <v>7.2121220943377473E-3</v>
      </c>
      <c r="H19" s="11" t="s">
        <v>37</v>
      </c>
    </row>
    <row r="20" spans="1:8" ht="28" x14ac:dyDescent="0.2">
      <c r="A20" s="5" t="s">
        <v>39</v>
      </c>
      <c r="B20" s="4">
        <v>5.5776151976617491E-4</v>
      </c>
      <c r="C20" s="4">
        <v>5.5529526223205396E-3</v>
      </c>
      <c r="D20" s="4">
        <f t="shared" si="0"/>
        <v>3.2383460877280466</v>
      </c>
      <c r="E20" s="4">
        <f>C20*D20/SQRT(4)</f>
        <v>8.9911911999154583E-3</v>
      </c>
      <c r="F20" s="4">
        <f t="shared" si="2"/>
        <v>-8.4334296801492833E-3</v>
      </c>
      <c r="G20" s="12">
        <f>B20+E20</f>
        <v>9.5489527196816332E-3</v>
      </c>
      <c r="H20" s="11" t="s">
        <v>37</v>
      </c>
    </row>
    <row r="21" spans="1:8" ht="28" x14ac:dyDescent="0.2">
      <c r="A21" s="5" t="s">
        <v>40</v>
      </c>
      <c r="B21" s="4">
        <v>-3.7038929628084583E-4</v>
      </c>
      <c r="C21" s="4">
        <v>5.6329467925545964E-3</v>
      </c>
      <c r="D21" s="4">
        <f t="shared" si="0"/>
        <v>3.2383460877280466</v>
      </c>
      <c r="E21" s="4">
        <f t="shared" si="1"/>
        <v>9.1207156040247119E-3</v>
      </c>
      <c r="F21" s="4">
        <f t="shared" si="2"/>
        <v>-9.4911049003055577E-3</v>
      </c>
      <c r="G21" s="9">
        <f t="shared" si="3"/>
        <v>8.7503263077438661E-3</v>
      </c>
      <c r="H21" s="11" t="s">
        <v>37</v>
      </c>
    </row>
    <row r="22" spans="1:8" ht="28" x14ac:dyDescent="0.2">
      <c r="A22" s="5" t="s">
        <v>41</v>
      </c>
      <c r="B22" s="4">
        <v>-9.1167018577247537E-4</v>
      </c>
      <c r="C22" s="4">
        <v>5.5388628771105269E-3</v>
      </c>
      <c r="D22" s="4">
        <f t="shared" si="0"/>
        <v>3.2383460877280466</v>
      </c>
      <c r="E22" s="4">
        <f t="shared" si="1"/>
        <v>8.9683774642764936E-3</v>
      </c>
      <c r="F22" s="4">
        <f>B22-E22</f>
        <v>-9.880047650048969E-3</v>
      </c>
      <c r="G22" s="9">
        <f t="shared" si="3"/>
        <v>8.0567072785040182E-3</v>
      </c>
      <c r="H22" s="11" t="s">
        <v>37</v>
      </c>
    </row>
  </sheetData>
  <mergeCells count="2">
    <mergeCell ref="A14:G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7" width="15" customWidth="1"/>
  </cols>
  <sheetData>
    <row r="1" spans="1:17" x14ac:dyDescent="0.2">
      <c r="A1" s="13" t="s">
        <v>42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3" spans="1:17" x14ac:dyDescent="0.2">
      <c r="A3" s="1" t="s">
        <v>43</v>
      </c>
    </row>
    <row r="4" spans="1:17" x14ac:dyDescent="0.2">
      <c r="A4" s="1" t="s">
        <v>44</v>
      </c>
      <c r="B4" s="1" t="s">
        <v>45</v>
      </c>
      <c r="C4" s="1" t="s">
        <v>46</v>
      </c>
      <c r="E4" s="1" t="s">
        <v>44</v>
      </c>
      <c r="F4" s="1" t="s">
        <v>45</v>
      </c>
      <c r="G4" s="1" t="s">
        <v>47</v>
      </c>
      <c r="I4" s="1" t="s">
        <v>44</v>
      </c>
      <c r="J4" s="1" t="s">
        <v>45</v>
      </c>
      <c r="K4" s="1" t="s">
        <v>48</v>
      </c>
    </row>
    <row r="5" spans="1:17" x14ac:dyDescent="0.2">
      <c r="A5" s="3" t="s">
        <v>17</v>
      </c>
      <c r="B5" s="4">
        <v>0.4299418177710661</v>
      </c>
      <c r="C5" s="6">
        <v>13</v>
      </c>
      <c r="E5" s="3" t="s">
        <v>17</v>
      </c>
      <c r="F5" s="4">
        <v>0.49252233782119992</v>
      </c>
      <c r="G5" s="6">
        <v>1</v>
      </c>
      <c r="I5" s="3" t="s">
        <v>17</v>
      </c>
      <c r="J5" s="4">
        <v>0.46897502284881959</v>
      </c>
      <c r="K5" s="6">
        <v>1</v>
      </c>
    </row>
    <row r="6" spans="1:17" x14ac:dyDescent="0.2">
      <c r="A6" s="3" t="s">
        <v>18</v>
      </c>
      <c r="B6" s="4">
        <v>0.5074552530526335</v>
      </c>
      <c r="C6" s="6">
        <v>16</v>
      </c>
      <c r="E6" s="3" t="s">
        <v>18</v>
      </c>
      <c r="F6" s="4">
        <v>0.44487473300249958</v>
      </c>
      <c r="G6" s="6">
        <v>2</v>
      </c>
      <c r="I6" s="3" t="s">
        <v>18</v>
      </c>
      <c r="J6" s="4">
        <v>0.46842204797488002</v>
      </c>
      <c r="K6" s="6">
        <v>2</v>
      </c>
    </row>
    <row r="25" spans="1:8" ht="28" x14ac:dyDescent="0.2">
      <c r="A25" s="1" t="s">
        <v>49</v>
      </c>
    </row>
    <row r="27" spans="1:8" x14ac:dyDescent="0.2">
      <c r="A27" s="15" t="s">
        <v>50</v>
      </c>
      <c r="B27" s="16"/>
      <c r="C27" s="17"/>
      <c r="E27" s="15" t="s">
        <v>51</v>
      </c>
      <c r="F27" s="16"/>
      <c r="G27" s="17"/>
    </row>
    <row r="28" spans="1:8" x14ac:dyDescent="0.2">
      <c r="A28" s="1" t="s">
        <v>46</v>
      </c>
      <c r="B28" s="1" t="s">
        <v>52</v>
      </c>
      <c r="C28" s="1" t="s">
        <v>53</v>
      </c>
      <c r="D28" s="1" t="s">
        <v>54</v>
      </c>
      <c r="E28" s="1" t="s">
        <v>46</v>
      </c>
      <c r="F28" s="1" t="s">
        <v>52</v>
      </c>
      <c r="G28" s="1" t="s">
        <v>53</v>
      </c>
      <c r="H28" s="1" t="s">
        <v>54</v>
      </c>
    </row>
    <row r="29" spans="1:8" x14ac:dyDescent="0.2">
      <c r="A29" s="3">
        <v>13</v>
      </c>
      <c r="B29" s="4">
        <v>0.45419141367340488</v>
      </c>
      <c r="C29" s="4">
        <v>0.40680295826243318</v>
      </c>
      <c r="E29" s="3">
        <v>13</v>
      </c>
      <c r="F29" s="4">
        <v>0.4525393963902074</v>
      </c>
      <c r="G29" s="4">
        <v>0.40623350275821901</v>
      </c>
    </row>
    <row r="30" spans="1:8" x14ac:dyDescent="0.2">
      <c r="A30" s="3">
        <v>16</v>
      </c>
      <c r="B30" s="4">
        <v>0.53103584754665389</v>
      </c>
      <c r="C30" s="4">
        <v>0.48386987191278658</v>
      </c>
      <c r="E30" s="3">
        <v>16</v>
      </c>
      <c r="F30" s="4">
        <v>0.53232269367453366</v>
      </c>
      <c r="G30" s="4">
        <v>0.48259259907655971</v>
      </c>
    </row>
    <row r="52" spans="1:8" x14ac:dyDescent="0.2">
      <c r="A52" s="15" t="s">
        <v>55</v>
      </c>
      <c r="B52" s="16"/>
      <c r="C52" s="17"/>
      <c r="E52" s="15" t="s">
        <v>56</v>
      </c>
      <c r="F52" s="16"/>
      <c r="G52" s="17"/>
    </row>
    <row r="53" spans="1:8" x14ac:dyDescent="0.2">
      <c r="A53" s="1" t="s">
        <v>46</v>
      </c>
      <c r="B53" s="1" t="s">
        <v>57</v>
      </c>
      <c r="C53" s="1" t="s">
        <v>58</v>
      </c>
      <c r="D53" s="1" t="s">
        <v>59</v>
      </c>
      <c r="E53" s="1" t="s">
        <v>46</v>
      </c>
      <c r="F53" s="1" t="s">
        <v>57</v>
      </c>
      <c r="G53" s="1" t="s">
        <v>58</v>
      </c>
      <c r="H53" s="1" t="s">
        <v>59</v>
      </c>
    </row>
    <row r="54" spans="1:8" x14ac:dyDescent="0.2">
      <c r="A54" s="3">
        <v>13</v>
      </c>
      <c r="B54" s="4">
        <v>0.45419141367340488</v>
      </c>
      <c r="C54" s="4">
        <v>0.4525393963902074</v>
      </c>
      <c r="E54" s="3">
        <v>13</v>
      </c>
      <c r="F54" s="4">
        <v>0.40680295826243318</v>
      </c>
      <c r="G54" s="4">
        <v>0.40623350275821901</v>
      </c>
    </row>
    <row r="55" spans="1:8" x14ac:dyDescent="0.2">
      <c r="A55" s="3">
        <v>16</v>
      </c>
      <c r="B55" s="4">
        <v>0.53103584754665389</v>
      </c>
      <c r="C55" s="4">
        <v>0.53232269367453366</v>
      </c>
      <c r="E55" s="3">
        <v>16</v>
      </c>
      <c r="F55" s="4">
        <v>0.48386987191278658</v>
      </c>
      <c r="G55" s="4">
        <v>0.48259259907655971</v>
      </c>
    </row>
    <row r="77" spans="1:8" x14ac:dyDescent="0.2">
      <c r="A77" s="15" t="s">
        <v>60</v>
      </c>
      <c r="B77" s="16"/>
      <c r="C77" s="17"/>
      <c r="E77" s="15" t="s">
        <v>61</v>
      </c>
      <c r="F77" s="16"/>
      <c r="G77" s="17"/>
    </row>
    <row r="78" spans="1:8" ht="28" x14ac:dyDescent="0.2">
      <c r="A78" s="1" t="s">
        <v>47</v>
      </c>
      <c r="B78" s="1" t="s">
        <v>57</v>
      </c>
      <c r="C78" s="1" t="s">
        <v>58</v>
      </c>
      <c r="D78" s="1" t="s">
        <v>62</v>
      </c>
      <c r="E78" s="1" t="s">
        <v>47</v>
      </c>
      <c r="F78" s="1" t="s">
        <v>57</v>
      </c>
      <c r="G78" s="1" t="s">
        <v>58</v>
      </c>
      <c r="H78" s="1" t="s">
        <v>62</v>
      </c>
    </row>
    <row r="79" spans="1:8" x14ac:dyDescent="0.2">
      <c r="A79" s="3">
        <v>1</v>
      </c>
      <c r="B79" s="4">
        <v>0.45419141367340488</v>
      </c>
      <c r="C79" s="4">
        <v>0.4525393963902074</v>
      </c>
      <c r="E79" s="3">
        <v>1</v>
      </c>
      <c r="F79" s="4">
        <v>0.53103584754665389</v>
      </c>
      <c r="G79" s="4">
        <v>0.53232269367453366</v>
      </c>
    </row>
    <row r="80" spans="1:8" x14ac:dyDescent="0.2">
      <c r="A80" s="3">
        <v>2</v>
      </c>
      <c r="B80" s="4">
        <v>0.40680295826243318</v>
      </c>
      <c r="C80" s="4">
        <v>0.40623350275821901</v>
      </c>
      <c r="E80" s="3">
        <v>2</v>
      </c>
      <c r="F80" s="4">
        <v>0.48386987191278658</v>
      </c>
      <c r="G80" s="4">
        <v>0.48259259907655971</v>
      </c>
    </row>
    <row r="110" spans="1:1" ht="28" x14ac:dyDescent="0.2">
      <c r="A110" s="1" t="s">
        <v>63</v>
      </c>
    </row>
    <row r="111" spans="1:1" ht="208" x14ac:dyDescent="0.2">
      <c r="A111" s="7" t="s">
        <v>64</v>
      </c>
    </row>
  </sheetData>
  <mergeCells count="7">
    <mergeCell ref="A1:Q1"/>
    <mergeCell ref="A52:C52"/>
    <mergeCell ref="E77:G77"/>
    <mergeCell ref="E52:G52"/>
    <mergeCell ref="E27:G27"/>
    <mergeCell ref="A27:C27"/>
    <mergeCell ref="A77:C7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Screening design</vt:lpstr>
      <vt:lpstr>Screening effects</vt:lpstr>
      <vt:lpstr>Screening 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Hoeckman</cp:lastModifiedBy>
  <dcterms:created xsi:type="dcterms:W3CDTF">2026-05-06T16:56:24Z</dcterms:created>
  <dcterms:modified xsi:type="dcterms:W3CDTF">2026-05-06T17:49:07Z</dcterms:modified>
</cp:coreProperties>
</file>