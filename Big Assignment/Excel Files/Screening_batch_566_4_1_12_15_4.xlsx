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sophiehoeckman/Documents/GitHub/Simulation-Group-work/Big Assignment/Excel Files/"/>
    </mc:Choice>
  </mc:AlternateContent>
  <xr:revisionPtr revIDLastSave="0" documentId="13_ncr:1_{52C96F4C-89BC-C846-89FD-6265D4C5ED08}" xr6:coauthVersionLast="47" xr6:coauthVersionMax="47" xr10:uidLastSave="{00000000-0000-0000-0000-000000000000}"/>
  <bookViews>
    <workbookView xWindow="0" yWindow="720" windowWidth="29400" windowHeight="18400" activeTab="1" xr2:uid="{00000000-000D-0000-FFFF-FFFF00000000}"/>
  </bookViews>
  <sheets>
    <sheet name="Screening design" sheetId="1" r:id="rId1"/>
    <sheet name="Screening effects" sheetId="2" r:id="rId2"/>
    <sheet name="Screening plots" sheetId="3" r:id="rId3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" l="1"/>
  <c r="E18" i="2" s="1"/>
  <c r="D17" i="2"/>
  <c r="E17" i="2" s="1"/>
  <c r="D16" i="2"/>
  <c r="E16" i="2" s="1"/>
  <c r="D15" i="2"/>
  <c r="E15" i="2" s="1"/>
  <c r="D14" i="2"/>
  <c r="E14" i="2" s="1"/>
  <c r="D13" i="2"/>
  <c r="E13" i="2" s="1"/>
  <c r="D12" i="2"/>
  <c r="E12" i="2" s="1"/>
  <c r="G13" i="2" l="1"/>
  <c r="F13" i="2"/>
  <c r="G16" i="2"/>
  <c r="F16" i="2"/>
  <c r="G14" i="2"/>
  <c r="F14" i="2"/>
  <c r="G17" i="2"/>
  <c r="F17" i="2"/>
  <c r="G12" i="2"/>
  <c r="F12" i="2"/>
  <c r="G15" i="2"/>
  <c r="F15" i="2"/>
  <c r="G18" i="2"/>
  <c r="F18" i="2"/>
</calcChain>
</file>

<file path=xl/sharedStrings.xml><?xml version="1.0" encoding="utf-8"?>
<sst xmlns="http://schemas.openxmlformats.org/spreadsheetml/2006/main" count="119" uniqueCount="62">
  <si>
    <t>2^3 Screening Design: Factor Levels and Objective Values</t>
  </si>
  <si>
    <t>Design point</t>
  </si>
  <si>
    <t>F1 urgent sign</t>
  </si>
  <si>
    <t>F1 urgent value</t>
  </si>
  <si>
    <t>F2 strategy sign</t>
  </si>
  <si>
    <t>F2 strategy value</t>
  </si>
  <si>
    <t>F3 rule sign</t>
  </si>
  <si>
    <t>F3 rule value</t>
  </si>
  <si>
    <t>Batch 1</t>
  </si>
  <si>
    <t>Batch 2</t>
  </si>
  <si>
    <t>Batch 3</t>
  </si>
  <si>
    <t>Batch 4</t>
  </si>
  <si>
    <t>Average</t>
  </si>
  <si>
    <t>-</t>
  </si>
  <si>
    <t>+</t>
  </si>
  <si>
    <t>Main and Interaction Effects per Batch</t>
  </si>
  <si>
    <t>Batch</t>
  </si>
  <si>
    <t>e1 urgent slots</t>
  </si>
  <si>
    <t>e2 strategy</t>
  </si>
  <si>
    <t>e3 rule</t>
  </si>
  <si>
    <t>e12 urgent×strategy</t>
  </si>
  <si>
    <t>e13 urgent×rule</t>
  </si>
  <si>
    <t>e23 strategy×rule</t>
  </si>
  <si>
    <t>e123</t>
  </si>
  <si>
    <t>95% Confidence Intervals for Effects</t>
  </si>
  <si>
    <t>Effect</t>
  </si>
  <si>
    <t>Mean</t>
  </si>
  <si>
    <t>Std</t>
  </si>
  <si>
    <t>95% CI half-width</t>
  </si>
  <si>
    <t>CI lower</t>
  </si>
  <si>
    <t>CI upper</t>
  </si>
  <si>
    <t>Significant?</t>
  </si>
  <si>
    <t>YES</t>
  </si>
  <si>
    <t>e12 urgent × strategy</t>
  </si>
  <si>
    <t>NO</t>
  </si>
  <si>
    <t>e13 urgent × rule</t>
  </si>
  <si>
    <t>e23 strategy × rule</t>
  </si>
  <si>
    <t>e123 three-way</t>
  </si>
  <si>
    <t>Screening Design Graphs: Main Effects and Interaction Effects</t>
  </si>
  <si>
    <t>MAIN EFFECTS</t>
  </si>
  <si>
    <t>Level</t>
  </si>
  <si>
    <t>OV</t>
  </si>
  <si>
    <t>urgent slots</t>
  </si>
  <si>
    <t>strategy</t>
  </si>
  <si>
    <t>rule</t>
  </si>
  <si>
    <t>INTERACTION EFFECTS</t>
  </si>
  <si>
    <t>Interaction urgent slots × strategy | rule = - (1)</t>
  </si>
  <si>
    <t>Interaction urgent slots × strategy | rule = + (2)</t>
  </si>
  <si>
    <t>strategy -</t>
  </si>
  <si>
    <t>strategy +</t>
  </si>
  <si>
    <t>fixed rule</t>
  </si>
  <si>
    <t>Interaction urgent slots × rule | strategy = - (1)</t>
  </si>
  <si>
    <t>Interaction urgent slots × rule | strategy = + (2)</t>
  </si>
  <si>
    <t>rule -</t>
  </si>
  <si>
    <t>rule +</t>
  </si>
  <si>
    <t>fixed strategy</t>
  </si>
  <si>
    <t>Interaction strategy × rule | urgent slots = - (12)</t>
  </si>
  <si>
    <t>Interaction strategy × rule | urgent slots = + (15)</t>
  </si>
  <si>
    <t>fixed urgent slots</t>
  </si>
  <si>
    <t>THREE-WAY INTERACTION</t>
  </si>
  <si>
    <t>3-way interaction is interpreted by comparing the two 2-way interaction plots above. If the interaction pattern changes when the third factor switches from '-' to '+', a 3-way interaction is present.</t>
  </si>
  <si>
    <t>T-SCORE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</si>
</sst>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0"/>
  </numFmts>
  <fonts count="8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1F4E79"/>
      <name val="Arial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5" borderId="0" applyNumberFormat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64" fontId="0" fillId="0" borderId="0" xfId="0" applyNumberFormat="1"/>
    <xf numFmtId="0" fontId="7" fillId="5" borderId="0" xfId="2"/>
    <xf numFmtId="0" fontId="6" fillId="4" borderId="0" xfId="1"/>
    <xf numFmtId="165" fontId="0" fillId="0" borderId="0" xfId="0" applyNumberFormat="1"/>
  </cellXfs>
  <cellStyles count="3">
    <cellStyle name="Goed" xfId="1" builtinId="26"/>
    <cellStyle name="Ongeldig" xfId="2" builtinId="27"/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urgent slots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plots'!$C$5:$C$6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plots'!$B$5:$B$6</c:f>
              <c:numCache>
                <c:formatCode>#,##0.00000</c:formatCode>
                <c:ptCount val="2"/>
                <c:pt idx="0">
                  <c:v>0.4326609331361827</c:v>
                </c:pt>
                <c:pt idx="1">
                  <c:v>0.46845658637508719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A79-6342-BB1C-99E55BA2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strategy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plots'!$G$5:$G$6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plots'!$F$5:$F$6</c:f>
              <c:numCache>
                <c:formatCode>#,##0.00000</c:formatCode>
                <c:ptCount val="2"/>
                <c:pt idx="0">
                  <c:v>0.46875569533805977</c:v>
                </c:pt>
                <c:pt idx="1">
                  <c:v>0.43236182417321012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3E-E041-AD81-874132D4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Main effect rule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plots'!$J$4</c:f>
              <c:strCache>
                <c:ptCount val="1"/>
                <c:pt idx="0">
                  <c:v>OV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plots'!$K$5:$K$6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plots'!$J$5:$J$6</c:f>
              <c:numCache>
                <c:formatCode>#,##0.00000</c:formatCode>
                <c:ptCount val="2"/>
                <c:pt idx="0">
                  <c:v>0.45123208922294789</c:v>
                </c:pt>
                <c:pt idx="1">
                  <c:v>0.44988543028832212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9A-8F49-95B9-4079E59B5B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plots'!$B$29:$B$30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0.48388803960629118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8FA-C04E-A39D-F307B20F142A}"/>
            </c:ext>
          </c:extLst>
        </c:ser>
        <c:ser>
          <c:idx val="1"/>
          <c:order val="1"/>
          <c:tx>
            <c:strRef>
              <c:f>'Screening plots'!$C$28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plots'!$A$29:$A$30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plots'!$C$29:$C$30</c:f>
              <c:numCache>
                <c:formatCode>#,##0.00000</c:formatCode>
                <c:ptCount val="2"/>
                <c:pt idx="0">
                  <c:v>0.41089480862348549</c:v>
                </c:pt>
                <c:pt idx="1">
                  <c:v>0.45449971343105838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8FA-C04E-A39D-F307B20F1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strategy | rule=+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plots'!$F$28</c:f>
              <c:strCache>
                <c:ptCount val="1"/>
                <c:pt idx="0">
                  <c:v>strategy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plots'!$F$29:$F$30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0.48165811178919199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37-204C-A92F-1B80E17E4C1A}"/>
            </c:ext>
          </c:extLst>
        </c:ser>
        <c:ser>
          <c:idx val="1"/>
          <c:order val="1"/>
          <c:tx>
            <c:strRef>
              <c:f>'Screening plots'!$G$28</c:f>
              <c:strCache>
                <c:ptCount val="1"/>
                <c:pt idx="0">
                  <c:v>strategy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plots'!$E$29:$E$30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plots'!$G$29:$G$30</c:f>
              <c:numCache>
                <c:formatCode>#,##0.00000</c:formatCode>
                <c:ptCount val="2"/>
                <c:pt idx="0">
                  <c:v>0.41027229396448928</c:v>
                </c:pt>
                <c:pt idx="1">
                  <c:v>0.45378048067380722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137-204C-A92F-1B80E17E4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plots'!$B$54:$B$55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0.48388803960629118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792-B841-8E7F-4A3F0E436F92}"/>
            </c:ext>
          </c:extLst>
        </c:ser>
        <c:ser>
          <c:idx val="1"/>
          <c:order val="1"/>
          <c:tx>
            <c:strRef>
              <c:f>'Screening plots'!$C$53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plots'!$A$54:$A$55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plots'!$C$54:$C$55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0.48165811178919199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792-B841-8E7F-4A3F0E436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urgent slots × rule | strategy=+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plots'!$F$53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plots'!$F$54:$F$55</c:f>
              <c:numCache>
                <c:formatCode>#,##0.00000</c:formatCode>
                <c:ptCount val="2"/>
                <c:pt idx="0">
                  <c:v>0.41089480862348549</c:v>
                </c:pt>
                <c:pt idx="1">
                  <c:v>0.45449971343105838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A9-DE43-9CA7-139619E1C858}"/>
            </c:ext>
          </c:extLst>
        </c:ser>
        <c:ser>
          <c:idx val="1"/>
          <c:order val="1"/>
          <c:tx>
            <c:strRef>
              <c:f>'Screening plots'!$G$53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plots'!$E$54:$E$55</c:f>
              <c:numCache>
                <c:formatCode>General</c:formatCode>
                <c:ptCount val="2"/>
                <c:pt idx="0">
                  <c:v>12</c:v>
                </c:pt>
                <c:pt idx="1">
                  <c:v>15</c:v>
                </c:pt>
              </c:numCache>
            </c:numRef>
          </c:cat>
          <c:val>
            <c:numRef>
              <c:f>'Screening plots'!$G$54:$G$55</c:f>
              <c:numCache>
                <c:formatCode>#,##0.00000</c:formatCode>
                <c:ptCount val="2"/>
                <c:pt idx="0">
                  <c:v>0.41027229396448928</c:v>
                </c:pt>
                <c:pt idx="1">
                  <c:v>0.45378048067380722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BA9-DE43-9CA7-139619E1C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slots=-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plots'!$B$78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plots'!$B$79:$B$80</c:f>
              <c:numCache>
                <c:formatCode>#,##0.00000</c:formatCode>
                <c:ptCount val="2"/>
                <c:pt idx="0">
                  <c:v>0.45564579523095639</c:v>
                </c:pt>
                <c:pt idx="1">
                  <c:v>0.41089480862348549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E8C-0245-8323-0402EA668772}"/>
            </c:ext>
          </c:extLst>
        </c:ser>
        <c:ser>
          <c:idx val="1"/>
          <c:order val="1"/>
          <c:tx>
            <c:strRef>
              <c:f>'Screening plots'!$C$78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plots'!$A$79:$A$80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plots'!$C$79:$C$80</c:f>
              <c:numCache>
                <c:formatCode>#,##0.00000</c:formatCode>
                <c:ptCount val="2"/>
                <c:pt idx="0">
                  <c:v>0.45383083472579949</c:v>
                </c:pt>
                <c:pt idx="1">
                  <c:v>0.41027229396448928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E8C-0245-8323-0402EA66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t>strategy × rule | urgent slots=+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'Screening plots'!$F$78</c:f>
              <c:strCache>
                <c:ptCount val="1"/>
                <c:pt idx="0">
                  <c:v>rule -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plots'!$F$79:$F$80</c:f>
              <c:numCache>
                <c:formatCode>#,##0.00000</c:formatCode>
                <c:ptCount val="2"/>
                <c:pt idx="0">
                  <c:v>0.48388803960629118</c:v>
                </c:pt>
                <c:pt idx="1">
                  <c:v>0.45449971343105838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C1-3C47-A735-4EC08D338898}"/>
            </c:ext>
          </c:extLst>
        </c:ser>
        <c:ser>
          <c:idx val="1"/>
          <c:order val="1"/>
          <c:tx>
            <c:strRef>
              <c:f>'Screening plots'!$G$78</c:f>
              <c:strCache>
                <c:ptCount val="1"/>
                <c:pt idx="0">
                  <c:v>rule +</c:v>
                </c:pt>
              </c:strCache>
            </c:strRef>
          </c:tx>
          <c:spPr>
            <a:ln w="30000">
              <a:prstDash val="solid"/>
            </a:ln>
          </c:spPr>
          <c:marker>
            <c:symbol val="none"/>
          </c:marker>
          <c:cat>
            <c:numRef>
              <c:f>'Screening plots'!$E$79:$E$80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cat>
          <c:val>
            <c:numRef>
              <c:f>'Screening plots'!$G$79:$G$80</c:f>
              <c:numCache>
                <c:formatCode>#,##0.00000</c:formatCode>
                <c:ptCount val="2"/>
                <c:pt idx="0">
                  <c:v>0.48165811178919199</c:v>
                </c:pt>
                <c:pt idx="1">
                  <c:v>0.45378048067380722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DC1-3C47-A735-4EC08D3388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Factor level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Average objective value</a:t>
                </a:r>
              </a:p>
            </c:rich>
          </c:tx>
          <c:overlay val="1"/>
        </c:title>
        <c:numFmt formatCode="#,##0.0000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</xdr:row>
      <xdr:rowOff>0</xdr:rowOff>
    </xdr:from>
    <xdr:ext cx="522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7</xdr:row>
      <xdr:rowOff>0</xdr:rowOff>
    </xdr:from>
    <xdr:ext cx="522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8</xdr:col>
      <xdr:colOff>0</xdr:colOff>
      <xdr:row>7</xdr:row>
      <xdr:rowOff>0</xdr:rowOff>
    </xdr:from>
    <xdr:ext cx="522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522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4</xdr:col>
      <xdr:colOff>0</xdr:colOff>
      <xdr:row>32</xdr:row>
      <xdr:rowOff>0</xdr:rowOff>
    </xdr:from>
    <xdr:ext cx="5220000" cy="306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5220000" cy="306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4</xdr:col>
      <xdr:colOff>0</xdr:colOff>
      <xdr:row>57</xdr:row>
      <xdr:rowOff>0</xdr:rowOff>
    </xdr:from>
    <xdr:ext cx="5220000" cy="306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0</xdr:col>
      <xdr:colOff>0</xdr:colOff>
      <xdr:row>82</xdr:row>
      <xdr:rowOff>0</xdr:rowOff>
    </xdr:from>
    <xdr:ext cx="5220000" cy="306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4</xdr:col>
      <xdr:colOff>0</xdr:colOff>
      <xdr:row>82</xdr:row>
      <xdr:rowOff>0</xdr:rowOff>
    </xdr:from>
    <xdr:ext cx="5220000" cy="3060000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pane ySplit="3" topLeftCell="A4" activePane="bottomLeft" state="frozen"/>
      <selection pane="bottomLeft" sqref="A1:L1"/>
    </sheetView>
  </sheetViews>
  <sheetFormatPr baseColWidth="10" defaultColWidth="8.83203125" defaultRowHeight="15" x14ac:dyDescent="0.2"/>
  <cols>
    <col min="1" max="1" width="14" customWidth="1"/>
    <col min="2" max="4" width="16" customWidth="1"/>
    <col min="5" max="11" width="14" customWidth="1"/>
    <col min="12" max="12" width="16" customWidth="1"/>
  </cols>
  <sheetData>
    <row r="1" spans="1:12" x14ac:dyDescent="0.2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3" spans="1:12" ht="2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x14ac:dyDescent="0.2">
      <c r="A4" s="2">
        <v>1</v>
      </c>
      <c r="B4" s="3" t="s">
        <v>13</v>
      </c>
      <c r="C4" s="3">
        <v>12</v>
      </c>
      <c r="D4" s="3" t="s">
        <v>13</v>
      </c>
      <c r="E4" s="3">
        <v>1</v>
      </c>
      <c r="F4" s="3" t="s">
        <v>13</v>
      </c>
      <c r="G4" s="3">
        <v>1</v>
      </c>
      <c r="H4" s="4">
        <v>0.45427978503133509</v>
      </c>
      <c r="I4" s="4">
        <v>0.45566853270518121</v>
      </c>
      <c r="J4" s="4">
        <v>0.45134849059513588</v>
      </c>
      <c r="K4" s="4">
        <v>0.46128637259217342</v>
      </c>
      <c r="L4" s="4">
        <v>0.45564579523095639</v>
      </c>
    </row>
    <row r="5" spans="1:12" x14ac:dyDescent="0.2">
      <c r="A5" s="2">
        <v>2</v>
      </c>
      <c r="B5" s="3" t="s">
        <v>14</v>
      </c>
      <c r="C5" s="3">
        <v>15</v>
      </c>
      <c r="D5" s="3" t="s">
        <v>13</v>
      </c>
      <c r="E5" s="3">
        <v>1</v>
      </c>
      <c r="F5" s="3" t="s">
        <v>13</v>
      </c>
      <c r="G5" s="3">
        <v>1</v>
      </c>
      <c r="H5" s="4">
        <v>0.47469263577261578</v>
      </c>
      <c r="I5" s="4">
        <v>0.49781343750205848</v>
      </c>
      <c r="J5" s="4">
        <v>0.50947263504792406</v>
      </c>
      <c r="K5" s="4">
        <v>0.45357345010256661</v>
      </c>
      <c r="L5" s="4">
        <v>0.48388803960629118</v>
      </c>
    </row>
    <row r="6" spans="1:12" x14ac:dyDescent="0.2">
      <c r="A6" s="2">
        <v>3</v>
      </c>
      <c r="B6" s="3" t="s">
        <v>13</v>
      </c>
      <c r="C6" s="3">
        <v>12</v>
      </c>
      <c r="D6" s="3" t="s">
        <v>14</v>
      </c>
      <c r="E6" s="3">
        <v>2</v>
      </c>
      <c r="F6" s="3" t="s">
        <v>13</v>
      </c>
      <c r="G6" s="3">
        <v>1</v>
      </c>
      <c r="H6" s="4">
        <v>0.41652061625701919</v>
      </c>
      <c r="I6" s="4">
        <v>0.40377122701340717</v>
      </c>
      <c r="J6" s="4">
        <v>0.42725217521518272</v>
      </c>
      <c r="K6" s="4">
        <v>0.39603521600833308</v>
      </c>
      <c r="L6" s="4">
        <v>0.41089480862348549</v>
      </c>
    </row>
    <row r="7" spans="1:12" x14ac:dyDescent="0.2">
      <c r="A7" s="2">
        <v>4</v>
      </c>
      <c r="B7" s="3" t="s">
        <v>14</v>
      </c>
      <c r="C7" s="3">
        <v>15</v>
      </c>
      <c r="D7" s="3" t="s">
        <v>14</v>
      </c>
      <c r="E7" s="3">
        <v>2</v>
      </c>
      <c r="F7" s="3" t="s">
        <v>13</v>
      </c>
      <c r="G7" s="3">
        <v>1</v>
      </c>
      <c r="H7" s="4">
        <v>0.45232843672354461</v>
      </c>
      <c r="I7" s="4">
        <v>0.45945349259056151</v>
      </c>
      <c r="J7" s="4">
        <v>0.46136611608479339</v>
      </c>
      <c r="K7" s="4">
        <v>0.44485080832533391</v>
      </c>
      <c r="L7" s="4">
        <v>0.45449971343105838</v>
      </c>
    </row>
    <row r="8" spans="1:12" x14ac:dyDescent="0.2">
      <c r="A8" s="2">
        <v>5</v>
      </c>
      <c r="B8" s="3" t="s">
        <v>13</v>
      </c>
      <c r="C8" s="3">
        <v>12</v>
      </c>
      <c r="D8" s="3" t="s">
        <v>13</v>
      </c>
      <c r="E8" s="3">
        <v>1</v>
      </c>
      <c r="F8" s="3" t="s">
        <v>14</v>
      </c>
      <c r="G8" s="3">
        <v>2</v>
      </c>
      <c r="H8" s="4">
        <v>0.45267043246293398</v>
      </c>
      <c r="I8" s="4">
        <v>0.45394009386311601</v>
      </c>
      <c r="J8" s="4">
        <v>0.44859401738965071</v>
      </c>
      <c r="K8" s="4">
        <v>0.46011879518749721</v>
      </c>
      <c r="L8" s="4">
        <v>0.45383083472579949</v>
      </c>
    </row>
    <row r="9" spans="1:12" x14ac:dyDescent="0.2">
      <c r="A9" s="2">
        <v>6</v>
      </c>
      <c r="B9" s="3" t="s">
        <v>14</v>
      </c>
      <c r="C9" s="3">
        <v>15</v>
      </c>
      <c r="D9" s="3" t="s">
        <v>13</v>
      </c>
      <c r="E9" s="3">
        <v>1</v>
      </c>
      <c r="F9" s="3" t="s">
        <v>14</v>
      </c>
      <c r="G9" s="3">
        <v>2</v>
      </c>
      <c r="H9" s="4">
        <v>0.47294177149858257</v>
      </c>
      <c r="I9" s="4">
        <v>0.49516948092656299</v>
      </c>
      <c r="J9" s="4">
        <v>0.5071689819742532</v>
      </c>
      <c r="K9" s="4">
        <v>0.45135221275736942</v>
      </c>
      <c r="L9" s="4">
        <v>0.48165811178919199</v>
      </c>
    </row>
    <row r="10" spans="1:12" x14ac:dyDescent="0.2">
      <c r="A10" s="2">
        <v>7</v>
      </c>
      <c r="B10" s="3" t="s">
        <v>13</v>
      </c>
      <c r="C10" s="3">
        <v>12</v>
      </c>
      <c r="D10" s="3" t="s">
        <v>14</v>
      </c>
      <c r="E10" s="3">
        <v>2</v>
      </c>
      <c r="F10" s="3" t="s">
        <v>14</v>
      </c>
      <c r="G10" s="3">
        <v>2</v>
      </c>
      <c r="H10" s="4">
        <v>0.41658447612808758</v>
      </c>
      <c r="I10" s="4">
        <v>0.40221686578581928</v>
      </c>
      <c r="J10" s="4">
        <v>0.42696931333514831</v>
      </c>
      <c r="K10" s="4">
        <v>0.39531852060890199</v>
      </c>
      <c r="L10" s="4">
        <v>0.41027229396448928</v>
      </c>
    </row>
    <row r="11" spans="1:12" x14ac:dyDescent="0.2">
      <c r="A11" s="2">
        <v>8</v>
      </c>
      <c r="B11" s="3" t="s">
        <v>14</v>
      </c>
      <c r="C11" s="3">
        <v>15</v>
      </c>
      <c r="D11" s="3" t="s">
        <v>14</v>
      </c>
      <c r="E11" s="3">
        <v>2</v>
      </c>
      <c r="F11" s="3" t="s">
        <v>14</v>
      </c>
      <c r="G11" s="3">
        <v>2</v>
      </c>
      <c r="H11" s="4">
        <v>0.45161278747362771</v>
      </c>
      <c r="I11" s="4">
        <v>0.45828713605590449</v>
      </c>
      <c r="J11" s="4">
        <v>0.46053310224646649</v>
      </c>
      <c r="K11" s="4">
        <v>0.44468889691922991</v>
      </c>
      <c r="L11" s="4">
        <v>0.45378048067380722</v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zoomScale="200" workbookViewId="0">
      <pane ySplit="3" topLeftCell="A8" activePane="bottomLeft" state="frozen"/>
      <selection pane="bottomLeft" activeCell="D11" sqref="D11:H18"/>
    </sheetView>
  </sheetViews>
  <sheetFormatPr baseColWidth="10" defaultColWidth="8.83203125" defaultRowHeight="15" x14ac:dyDescent="0.2"/>
  <cols>
    <col min="1" max="1" width="12" customWidth="1"/>
    <col min="2" max="4" width="18" customWidth="1"/>
    <col min="5" max="8" width="22" customWidth="1"/>
  </cols>
  <sheetData>
    <row r="1" spans="1:8" x14ac:dyDescent="0.2">
      <c r="A1" s="8" t="s">
        <v>15</v>
      </c>
      <c r="B1" s="9"/>
      <c r="C1" s="9"/>
      <c r="D1" s="9"/>
      <c r="E1" s="9"/>
      <c r="F1" s="9"/>
      <c r="G1" s="9"/>
      <c r="H1" s="9"/>
    </row>
    <row r="3" spans="1:8" x14ac:dyDescent="0.2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 x14ac:dyDescent="0.2">
      <c r="A4" s="3">
        <v>1</v>
      </c>
      <c r="B4" s="4">
        <v>2.7880080397248638E-2</v>
      </c>
      <c r="C4" s="4">
        <v>-2.938457704579708E-2</v>
      </c>
      <c r="D4" s="4">
        <v>-1.003001555320668E-3</v>
      </c>
      <c r="E4" s="4">
        <v>7.5379855087840536E-3</v>
      </c>
      <c r="F4" s="4">
        <v>-2.302552066543451E-4</v>
      </c>
      <c r="G4" s="4">
        <v>6.7710686589646241E-4</v>
      </c>
      <c r="H4" s="4">
        <v>-1.5949935383831329E-4</v>
      </c>
    </row>
    <row r="5" spans="1:8" x14ac:dyDescent="0.2">
      <c r="A5" s="3">
        <v>2</v>
      </c>
      <c r="B5" s="4">
        <v>4.8781706926890947E-2</v>
      </c>
      <c r="C5" s="4">
        <v>-4.4715705887806538E-2</v>
      </c>
      <c r="D5" s="4">
        <v>-1.773278294951441E-3</v>
      </c>
      <c r="E5" s="4">
        <v>7.0945609967287956E-3</v>
      </c>
      <c r="F5" s="4">
        <v>-1.318782601248403E-4</v>
      </c>
      <c r="G5" s="4">
        <v>4.1291941382892722E-4</v>
      </c>
      <c r="H5" s="4">
        <v>3.2588060659034801E-4</v>
      </c>
    </row>
    <row r="6" spans="1:8" x14ac:dyDescent="0.2">
      <c r="A6" s="3">
        <v>3</v>
      </c>
      <c r="B6" s="4">
        <v>4.6094209704579892E-2</v>
      </c>
      <c r="C6" s="4">
        <v>-3.5115854531343277E-2</v>
      </c>
      <c r="D6" s="4">
        <v>-1.5435004993793471E-3</v>
      </c>
      <c r="E6" s="4">
        <v>-1.2255344814115421E-2</v>
      </c>
      <c r="F6" s="4">
        <v>-2.4832956619563751E-5</v>
      </c>
      <c r="G6" s="4">
        <v>9.8556264019869499E-4</v>
      </c>
      <c r="H6" s="4">
        <v>-2.5024302252674158E-4</v>
      </c>
    </row>
    <row r="7" spans="1:8" x14ac:dyDescent="0.2">
      <c r="A7" s="3">
        <v>4</v>
      </c>
      <c r="B7" s="4">
        <v>2.0426615926898501E-2</v>
      </c>
      <c r="C7" s="4">
        <v>-3.6359347194451892E-2</v>
      </c>
      <c r="D7" s="4">
        <v>-1.0668553888521499E-3</v>
      </c>
      <c r="E7" s="4">
        <v>2.866636838676578E-2</v>
      </c>
      <c r="F7" s="4">
        <v>-1.2471898679849991E-4</v>
      </c>
      <c r="G7" s="4">
        <v>6.2755198608457907E-4</v>
      </c>
      <c r="H7" s="4">
        <v>4.0211098346200352E-4</v>
      </c>
    </row>
    <row r="10" spans="1:8" x14ac:dyDescent="0.2">
      <c r="A10" s="10" t="s">
        <v>24</v>
      </c>
      <c r="B10" s="9"/>
      <c r="C10" s="9"/>
      <c r="D10" s="9"/>
      <c r="E10" s="9"/>
      <c r="F10" s="9"/>
      <c r="G10" s="9"/>
    </row>
    <row r="11" spans="1:8" x14ac:dyDescent="0.2">
      <c r="A11" s="1" t="s">
        <v>25</v>
      </c>
      <c r="B11" s="1" t="s">
        <v>26</v>
      </c>
      <c r="C11" s="1" t="s">
        <v>27</v>
      </c>
      <c r="D11" s="13" t="s">
        <v>61</v>
      </c>
      <c r="E11" s="1" t="s">
        <v>28</v>
      </c>
      <c r="F11" s="1" t="s">
        <v>29</v>
      </c>
      <c r="G11" s="1" t="s">
        <v>30</v>
      </c>
      <c r="H11" s="1" t="s">
        <v>31</v>
      </c>
    </row>
    <row r="12" spans="1:8" ht="28" x14ac:dyDescent="0.2">
      <c r="A12" s="5" t="s">
        <v>17</v>
      </c>
      <c r="B12" s="4">
        <v>3.579565323890449E-2</v>
      </c>
      <c r="C12" s="4">
        <v>1.3827044236728781E-2</v>
      </c>
      <c r="D12" s="4">
        <f>_xlfn.T.INV.2T(0.1/7,3)</f>
        <v>5.1376545051185385</v>
      </c>
      <c r="E12" s="4">
        <f>C12*D12/SQRT(4)</f>
        <v>3.551928805765147E-2</v>
      </c>
      <c r="F12" s="4">
        <f>B12-E12</f>
        <v>2.7636518125302018E-4</v>
      </c>
      <c r="G12" s="14">
        <f>B12+E12</f>
        <v>7.1314941296555967E-2</v>
      </c>
      <c r="H12" s="16" t="s">
        <v>32</v>
      </c>
    </row>
    <row r="13" spans="1:8" ht="16" x14ac:dyDescent="0.2">
      <c r="A13" s="5" t="s">
        <v>18</v>
      </c>
      <c r="B13" s="4">
        <v>-3.6393871164849698E-2</v>
      </c>
      <c r="C13" s="4">
        <v>6.3250205697596203E-3</v>
      </c>
      <c r="D13" s="4">
        <f t="shared" ref="D13:D18" si="0">_xlfn.T.INV.2T(0.1/7,3)</f>
        <v>5.1376545051185385</v>
      </c>
      <c r="E13" s="4">
        <f t="shared" ref="E13:E18" si="1">C13*D13/SQRT(4)</f>
        <v>1.6247885212596468E-2</v>
      </c>
      <c r="F13" s="4">
        <f t="shared" ref="F13:F17" si="2">B13-E13</f>
        <v>-5.2641756377446169E-2</v>
      </c>
      <c r="G13" s="14">
        <f t="shared" ref="G13:G18" si="3">B13+E13</f>
        <v>-2.0145985952253229E-2</v>
      </c>
      <c r="H13" s="16" t="s">
        <v>32</v>
      </c>
    </row>
    <row r="14" spans="1:8" ht="16" x14ac:dyDescent="0.2">
      <c r="A14" s="5" t="s">
        <v>19</v>
      </c>
      <c r="B14" s="4">
        <v>-1.346658934625902E-3</v>
      </c>
      <c r="C14" s="4">
        <v>3.7289010838657837E-4</v>
      </c>
      <c r="D14" s="4">
        <f t="shared" si="0"/>
        <v>5.1376545051185385</v>
      </c>
      <c r="E14" s="4">
        <f t="shared" si="1"/>
        <v>9.5789027263322229E-4</v>
      </c>
      <c r="F14" s="4">
        <f t="shared" si="2"/>
        <v>-2.3045492072591243E-3</v>
      </c>
      <c r="G14" s="14">
        <f t="shared" si="3"/>
        <v>-3.887686619926797E-4</v>
      </c>
      <c r="H14" s="16" t="s">
        <v>32</v>
      </c>
    </row>
    <row r="15" spans="1:8" ht="28" x14ac:dyDescent="0.2">
      <c r="A15" s="5" t="s">
        <v>33</v>
      </c>
      <c r="B15" s="4">
        <v>7.7608925195408046E-3</v>
      </c>
      <c r="C15" s="4">
        <v>1.6715086633199729E-2</v>
      </c>
      <c r="D15" s="4">
        <f t="shared" si="0"/>
        <v>5.1376545051185385</v>
      </c>
      <c r="E15" s="4">
        <f t="shared" si="1"/>
        <v>4.2938170072252625E-2</v>
      </c>
      <c r="F15" s="4">
        <f t="shared" si="2"/>
        <v>-3.5177277552711821E-2</v>
      </c>
      <c r="G15" s="14">
        <f t="shared" si="3"/>
        <v>5.069906259179343E-2</v>
      </c>
      <c r="H15" s="15" t="s">
        <v>34</v>
      </c>
    </row>
    <row r="16" spans="1:8" ht="28" x14ac:dyDescent="0.2">
      <c r="A16" s="5" t="s">
        <v>35</v>
      </c>
      <c r="B16" s="4">
        <v>-1.279213525493123E-4</v>
      </c>
      <c r="C16" s="4">
        <v>8.3915329023411E-5</v>
      </c>
      <c r="D16" s="4">
        <f t="shared" si="0"/>
        <v>5.1376545051185385</v>
      </c>
      <c r="E16" s="4">
        <f>C16*D16/SQRT(4)</f>
        <v>2.15563984102816E-4</v>
      </c>
      <c r="F16" s="4">
        <f t="shared" si="2"/>
        <v>-3.434853366521283E-4</v>
      </c>
      <c r="G16" s="17">
        <f>B16+E16</f>
        <v>8.7642631553503693E-5</v>
      </c>
      <c r="H16" s="15" t="s">
        <v>34</v>
      </c>
    </row>
    <row r="17" spans="1:8" ht="28" x14ac:dyDescent="0.2">
      <c r="A17" s="5" t="s">
        <v>36</v>
      </c>
      <c r="B17" s="4">
        <v>6.7578522650216591E-4</v>
      </c>
      <c r="C17" s="4">
        <v>2.3621224475793101E-4</v>
      </c>
      <c r="D17" s="4">
        <f t="shared" si="0"/>
        <v>5.1376545051185385</v>
      </c>
      <c r="E17" s="4">
        <f t="shared" si="1"/>
        <v>6.0678845172237362E-4</v>
      </c>
      <c r="F17" s="4">
        <f t="shared" si="2"/>
        <v>6.8996774779792286E-5</v>
      </c>
      <c r="G17" s="14">
        <f t="shared" si="3"/>
        <v>1.2825736782245394E-3</v>
      </c>
      <c r="H17" s="16" t="s">
        <v>32</v>
      </c>
    </row>
    <row r="18" spans="1:8" ht="28" x14ac:dyDescent="0.2">
      <c r="A18" s="5" t="s">
        <v>37</v>
      </c>
      <c r="B18" s="4">
        <v>7.956230342182416E-5</v>
      </c>
      <c r="C18" s="4">
        <v>3.3198011309288082E-4</v>
      </c>
      <c r="D18" s="4">
        <f t="shared" si="0"/>
        <v>5.1376545051185385</v>
      </c>
      <c r="E18" s="4">
        <f t="shared" si="1"/>
        <v>8.5279956182070054E-4</v>
      </c>
      <c r="F18" s="4">
        <f>B18-E18</f>
        <v>-7.7323725839887638E-4</v>
      </c>
      <c r="G18" s="14">
        <f t="shared" si="3"/>
        <v>9.323618652425247E-4</v>
      </c>
      <c r="H18" s="15" t="s">
        <v>34</v>
      </c>
    </row>
  </sheetData>
  <mergeCells count="2">
    <mergeCell ref="A10:G10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11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7" width="15" customWidth="1"/>
  </cols>
  <sheetData>
    <row r="1" spans="1:17" x14ac:dyDescent="0.2">
      <c r="A1" s="8" t="s">
        <v>38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3" spans="1:17" x14ac:dyDescent="0.2">
      <c r="A3" s="1" t="s">
        <v>39</v>
      </c>
    </row>
    <row r="4" spans="1:17" x14ac:dyDescent="0.2">
      <c r="A4" s="1" t="s">
        <v>40</v>
      </c>
      <c r="B4" s="1" t="s">
        <v>41</v>
      </c>
      <c r="C4" s="1" t="s">
        <v>42</v>
      </c>
      <c r="E4" s="1" t="s">
        <v>40</v>
      </c>
      <c r="F4" s="1" t="s">
        <v>41</v>
      </c>
      <c r="G4" s="1" t="s">
        <v>43</v>
      </c>
      <c r="I4" s="1" t="s">
        <v>40</v>
      </c>
      <c r="J4" s="1" t="s">
        <v>41</v>
      </c>
      <c r="K4" s="1" t="s">
        <v>44</v>
      </c>
    </row>
    <row r="5" spans="1:17" x14ac:dyDescent="0.2">
      <c r="A5" s="3" t="s">
        <v>13</v>
      </c>
      <c r="B5" s="4">
        <v>0.4326609331361827</v>
      </c>
      <c r="C5" s="6">
        <v>12</v>
      </c>
      <c r="E5" s="3" t="s">
        <v>13</v>
      </c>
      <c r="F5" s="4">
        <v>0.46875569533805977</v>
      </c>
      <c r="G5" s="6">
        <v>1</v>
      </c>
      <c r="I5" s="3" t="s">
        <v>13</v>
      </c>
      <c r="J5" s="4">
        <v>0.45123208922294789</v>
      </c>
      <c r="K5" s="6">
        <v>1</v>
      </c>
    </row>
    <row r="6" spans="1:17" x14ac:dyDescent="0.2">
      <c r="A6" s="3" t="s">
        <v>14</v>
      </c>
      <c r="B6" s="4">
        <v>0.46845658637508719</v>
      </c>
      <c r="C6" s="6">
        <v>15</v>
      </c>
      <c r="E6" s="3" t="s">
        <v>14</v>
      </c>
      <c r="F6" s="4">
        <v>0.43236182417321012</v>
      </c>
      <c r="G6" s="6">
        <v>2</v>
      </c>
      <c r="I6" s="3" t="s">
        <v>14</v>
      </c>
      <c r="J6" s="4">
        <v>0.44988543028832212</v>
      </c>
      <c r="K6" s="6">
        <v>2</v>
      </c>
    </row>
    <row r="25" spans="1:8" ht="28" x14ac:dyDescent="0.2">
      <c r="A25" s="1" t="s">
        <v>45</v>
      </c>
    </row>
    <row r="27" spans="1:8" x14ac:dyDescent="0.2">
      <c r="A27" s="10" t="s">
        <v>46</v>
      </c>
      <c r="B27" s="11"/>
      <c r="C27" s="12"/>
      <c r="E27" s="10" t="s">
        <v>47</v>
      </c>
      <c r="F27" s="11"/>
      <c r="G27" s="12"/>
    </row>
    <row r="28" spans="1:8" x14ac:dyDescent="0.2">
      <c r="A28" s="1" t="s">
        <v>42</v>
      </c>
      <c r="B28" s="1" t="s">
        <v>48</v>
      </c>
      <c r="C28" s="1" t="s">
        <v>49</v>
      </c>
      <c r="D28" s="1" t="s">
        <v>50</v>
      </c>
      <c r="E28" s="1" t="s">
        <v>42</v>
      </c>
      <c r="F28" s="1" t="s">
        <v>48</v>
      </c>
      <c r="G28" s="1" t="s">
        <v>49</v>
      </c>
      <c r="H28" s="1" t="s">
        <v>50</v>
      </c>
    </row>
    <row r="29" spans="1:8" x14ac:dyDescent="0.2">
      <c r="A29" s="3">
        <v>12</v>
      </c>
      <c r="B29" s="4">
        <v>0.45564579523095639</v>
      </c>
      <c r="C29" s="4">
        <v>0.41089480862348549</v>
      </c>
      <c r="E29" s="3">
        <v>12</v>
      </c>
      <c r="F29" s="4">
        <v>0.45383083472579949</v>
      </c>
      <c r="G29" s="4">
        <v>0.41027229396448928</v>
      </c>
    </row>
    <row r="30" spans="1:8" x14ac:dyDescent="0.2">
      <c r="A30" s="3">
        <v>15</v>
      </c>
      <c r="B30" s="4">
        <v>0.48388803960629118</v>
      </c>
      <c r="C30" s="4">
        <v>0.45449971343105838</v>
      </c>
      <c r="E30" s="3">
        <v>15</v>
      </c>
      <c r="F30" s="4">
        <v>0.48165811178919199</v>
      </c>
      <c r="G30" s="4">
        <v>0.45378048067380722</v>
      </c>
    </row>
    <row r="52" spans="1:8" x14ac:dyDescent="0.2">
      <c r="A52" s="10" t="s">
        <v>51</v>
      </c>
      <c r="B52" s="11"/>
      <c r="C52" s="12"/>
      <c r="E52" s="10" t="s">
        <v>52</v>
      </c>
      <c r="F52" s="11"/>
      <c r="G52" s="12"/>
    </row>
    <row r="53" spans="1:8" x14ac:dyDescent="0.2">
      <c r="A53" s="1" t="s">
        <v>42</v>
      </c>
      <c r="B53" s="1" t="s">
        <v>53</v>
      </c>
      <c r="C53" s="1" t="s">
        <v>54</v>
      </c>
      <c r="D53" s="1" t="s">
        <v>55</v>
      </c>
      <c r="E53" s="1" t="s">
        <v>42</v>
      </c>
      <c r="F53" s="1" t="s">
        <v>53</v>
      </c>
      <c r="G53" s="1" t="s">
        <v>54</v>
      </c>
      <c r="H53" s="1" t="s">
        <v>55</v>
      </c>
    </row>
    <row r="54" spans="1:8" x14ac:dyDescent="0.2">
      <c r="A54" s="3">
        <v>12</v>
      </c>
      <c r="B54" s="4">
        <v>0.45564579523095639</v>
      </c>
      <c r="C54" s="4">
        <v>0.45383083472579949</v>
      </c>
      <c r="E54" s="3">
        <v>12</v>
      </c>
      <c r="F54" s="4">
        <v>0.41089480862348549</v>
      </c>
      <c r="G54" s="4">
        <v>0.41027229396448928</v>
      </c>
    </row>
    <row r="55" spans="1:8" x14ac:dyDescent="0.2">
      <c r="A55" s="3">
        <v>15</v>
      </c>
      <c r="B55" s="4">
        <v>0.48388803960629118</v>
      </c>
      <c r="C55" s="4">
        <v>0.48165811178919199</v>
      </c>
      <c r="E55" s="3">
        <v>15</v>
      </c>
      <c r="F55" s="4">
        <v>0.45449971343105838</v>
      </c>
      <c r="G55" s="4">
        <v>0.45378048067380722</v>
      </c>
    </row>
    <row r="77" spans="1:8" x14ac:dyDescent="0.2">
      <c r="A77" s="10" t="s">
        <v>56</v>
      </c>
      <c r="B77" s="11"/>
      <c r="C77" s="12"/>
      <c r="E77" s="10" t="s">
        <v>57</v>
      </c>
      <c r="F77" s="11"/>
      <c r="G77" s="12"/>
    </row>
    <row r="78" spans="1:8" ht="28" x14ac:dyDescent="0.2">
      <c r="A78" s="1" t="s">
        <v>43</v>
      </c>
      <c r="B78" s="1" t="s">
        <v>53</v>
      </c>
      <c r="C78" s="1" t="s">
        <v>54</v>
      </c>
      <c r="D78" s="1" t="s">
        <v>58</v>
      </c>
      <c r="E78" s="1" t="s">
        <v>43</v>
      </c>
      <c r="F78" s="1" t="s">
        <v>53</v>
      </c>
      <c r="G78" s="1" t="s">
        <v>54</v>
      </c>
      <c r="H78" s="1" t="s">
        <v>58</v>
      </c>
    </row>
    <row r="79" spans="1:8" x14ac:dyDescent="0.2">
      <c r="A79" s="3">
        <v>1</v>
      </c>
      <c r="B79" s="4">
        <v>0.45564579523095639</v>
      </c>
      <c r="C79" s="4">
        <v>0.45383083472579949</v>
      </c>
      <c r="E79" s="3">
        <v>1</v>
      </c>
      <c r="F79" s="4">
        <v>0.48388803960629118</v>
      </c>
      <c r="G79" s="4">
        <v>0.48165811178919199</v>
      </c>
    </row>
    <row r="80" spans="1:8" x14ac:dyDescent="0.2">
      <c r="A80" s="3">
        <v>2</v>
      </c>
      <c r="B80" s="4">
        <v>0.41089480862348549</v>
      </c>
      <c r="C80" s="4">
        <v>0.41027229396448928</v>
      </c>
      <c r="E80" s="3">
        <v>2</v>
      </c>
      <c r="F80" s="4">
        <v>0.45449971343105838</v>
      </c>
      <c r="G80" s="4">
        <v>0.45378048067380722</v>
      </c>
    </row>
    <row r="110" spans="1:1" ht="28" x14ac:dyDescent="0.2">
      <c r="A110" s="1" t="s">
        <v>59</v>
      </c>
    </row>
    <row r="111" spans="1:1" ht="208" x14ac:dyDescent="0.2">
      <c r="A111" s="7" t="s">
        <v>60</v>
      </c>
    </row>
  </sheetData>
  <mergeCells count="7">
    <mergeCell ref="A1:Q1"/>
    <mergeCell ref="A52:C52"/>
    <mergeCell ref="E77:G77"/>
    <mergeCell ref="E52:G52"/>
    <mergeCell ref="E27:G27"/>
    <mergeCell ref="A27:C27"/>
    <mergeCell ref="A77:C7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Screening design</vt:lpstr>
      <vt:lpstr>Screening effects</vt:lpstr>
      <vt:lpstr>Screening plots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Sophie Hoeckman</cp:lastModifiedBy>
  <dcterms:created xsi:type="dcterms:W3CDTF">2026-05-06T16:17:10Z</dcterms:created>
  <dcterms:modified xsi:type="dcterms:W3CDTF">2026-05-06T16:37:50Z</dcterms:modified>
</cp:coreProperties>
</file>