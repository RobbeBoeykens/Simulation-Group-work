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3F08C71F-996A-B343-8A5E-A8B9FF648B43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G12" i="2" l="1"/>
  <c r="F12" i="2"/>
  <c r="G13" i="2"/>
  <c r="F13" i="2"/>
  <c r="G14" i="2"/>
  <c r="F14" i="2"/>
  <c r="G15" i="2"/>
  <c r="F15" i="2"/>
  <c r="G16" i="2"/>
  <c r="F16" i="2"/>
  <c r="G17" i="2"/>
  <c r="F17" i="2"/>
  <c r="G18" i="2"/>
  <c r="F18" i="2"/>
</calcChain>
</file>

<file path=xl/sharedStrings.xml><?xml version="1.0" encoding="utf-8"?>
<sst xmlns="http://schemas.openxmlformats.org/spreadsheetml/2006/main" count="119" uniqueCount="62">
  <si>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</si>
  <si>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</si>
  <si>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</si>
  <si>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</si>
  <si>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</si>
  <si>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</si>
  <si>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</si>
  <si>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</si>
  <si>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</si>
  <si>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</si>
  <si>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</si>
  <si>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</si>
  <si>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</si>
  <si>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</si>
  <si>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</si>
  <si>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</si>
  <si>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</si>
  <si>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</si>
  <si>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</si>
  <si>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</si>
  <si>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</si>
  <si>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</si>
  <si>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</si>
  <si>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</si>
  <si>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</si>
  <si>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</si>
  <si>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</si>
  <si>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</si>
  <si>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</si>
  <si>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</si>
  <si>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</si>
  <si>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</si>
  <si>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</si>
  <si>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</si>
  <si>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</si>
  <si>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</si>
  <si>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</si>
  <si>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</si>
  <si>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</si>
  <si>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</si>
  <si>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</si>
  <si>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</si>
  <si>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</si>
  <si>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</si>
  <si>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</si>
  <si>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</si>
  <si>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</si>
  <si>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</si>
  <si>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</si>
  <si>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</si>
  <si>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</si>
  <si>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</si>
  <si>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</si>
  <si>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</si>
  <si>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</si>
  <si>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</si>
  <si>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(13)</t>
  </si>
  <si>
    <t>Interaction strategy × rule | urgent slots = + (14)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</si>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</sst>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0.43803427526267819</c:v>
                </c:pt>
                <c:pt idx="1">
                  <c:v>0.44659818638750898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45-3D47-899F-9C9538879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0.46190570906629608</c:v>
                </c:pt>
                <c:pt idx="1">
                  <c:v>0.42272675258389097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8E-EE45-B447-8096697E9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0.44305367870788093</c:v>
                </c:pt>
                <c:pt idx="1">
                  <c:v>0.44157878294230629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D5-D24A-ACA0-C1C95C94F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0.45776679385887181</c:v>
                </c:pt>
                <c:pt idx="1">
                  <c:v>0.46787128715409421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F9-A64E-A617-EDA412D187E1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0.41965877833878229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F9-A64E-A617-EDA412D1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0.45610112864706659</c:v>
                </c:pt>
                <c:pt idx="1">
                  <c:v>0.46588362660515192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83-EF4D-B375-0D0DE2924A85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0.41861040020599211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83-EF4D-B375-0D0DE292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0.45776679385887181</c:v>
                </c:pt>
                <c:pt idx="1">
                  <c:v>0.46787128715409421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13-D242-A428-7D3D32C1E39D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0.45610112864706659</c:v>
                </c:pt>
                <c:pt idx="1">
                  <c:v>0.46588362660515192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13-D242-A428-7D3D32C1E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0.41965877833878229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C2-914A-9F2C-99D2A9B40481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0.41861040020599211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C2-914A-9F2C-99D2A9B4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0.45776679385887181</c:v>
                </c:pt>
                <c:pt idx="1">
                  <c:v>0.41965877833878229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1B-724C-87AA-A158668A7DFD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0.45610112864706659</c:v>
                </c:pt>
                <c:pt idx="1">
                  <c:v>0.41861040020599211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1B-724C-87AA-A158668A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0.46787128715409421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87-1A43-AF27-74DEA5A4F652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0.46588362660515192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87-1A43-AF27-74DEA5A4F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1" width="14" customWidth="1"/>
    <col min="12" max="12" width="16" customWidth="1"/>
  </cols>
  <sheetData>
    <row r="1" spans="1:12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>
        <v>1</v>
      </c>
      <c r="B4" s="3" t="s">
        <v>13</v>
      </c>
      <c r="C4" s="3">
        <v>13</v>
      </c>
      <c r="D4" s="3" t="s">
        <v>13</v>
      </c>
      <c r="E4" s="3">
        <v>1</v>
      </c>
      <c r="F4" s="3" t="s">
        <v>13</v>
      </c>
      <c r="G4" s="3">
        <v>1</v>
      </c>
      <c r="H4" s="4">
        <v>0.47060083416720222</v>
      </c>
      <c r="I4" s="4">
        <v>0.47164323879209769</v>
      </c>
      <c r="J4" s="4">
        <v>0.44502290813581058</v>
      </c>
      <c r="K4" s="4">
        <v>0.44380019434037671</v>
      </c>
      <c r="L4" s="4">
        <v>0.45776679385887181</v>
      </c>
    </row>
    <row r="5" spans="1:12" x14ac:dyDescent="0.2">
      <c r="A5" s="2">
        <v>2</v>
      </c>
      <c r="B5" s="3" t="s">
        <v>14</v>
      </c>
      <c r="C5" s="3">
        <v>14</v>
      </c>
      <c r="D5" s="3" t="s">
        <v>13</v>
      </c>
      <c r="E5" s="3">
        <v>1</v>
      </c>
      <c r="F5" s="3" t="s">
        <v>13</v>
      </c>
      <c r="G5" s="3">
        <v>1</v>
      </c>
      <c r="H5" s="4">
        <v>0.49318782011895662</v>
      </c>
      <c r="I5" s="4">
        <v>0.49050582308398272</v>
      </c>
      <c r="J5" s="4">
        <v>0.446069380673491</v>
      </c>
      <c r="K5" s="4">
        <v>0.44172212473994671</v>
      </c>
      <c r="L5" s="4">
        <v>0.46787128715409421</v>
      </c>
    </row>
    <row r="6" spans="1:12" x14ac:dyDescent="0.2">
      <c r="A6" s="2">
        <v>3</v>
      </c>
      <c r="B6" s="3" t="s">
        <v>13</v>
      </c>
      <c r="C6" s="3">
        <v>13</v>
      </c>
      <c r="D6" s="3" t="s">
        <v>14</v>
      </c>
      <c r="E6" s="3">
        <v>2</v>
      </c>
      <c r="F6" s="3" t="s">
        <v>13</v>
      </c>
      <c r="G6" s="3">
        <v>1</v>
      </c>
      <c r="H6" s="4">
        <v>0.42966379309189517</v>
      </c>
      <c r="I6" s="4">
        <v>0.40627198707766338</v>
      </c>
      <c r="J6" s="4">
        <v>0.44490095871714208</v>
      </c>
      <c r="K6" s="4">
        <v>0.39779837446842858</v>
      </c>
      <c r="L6" s="4">
        <v>0.41965877833878229</v>
      </c>
    </row>
    <row r="7" spans="1:12" x14ac:dyDescent="0.2">
      <c r="A7" s="2">
        <v>4</v>
      </c>
      <c r="B7" s="3" t="s">
        <v>14</v>
      </c>
      <c r="C7" s="3">
        <v>14</v>
      </c>
      <c r="D7" s="3" t="s">
        <v>14</v>
      </c>
      <c r="E7" s="3">
        <v>2</v>
      </c>
      <c r="F7" s="3" t="s">
        <v>13</v>
      </c>
      <c r="G7" s="3">
        <v>1</v>
      </c>
      <c r="H7" s="4">
        <v>0.44663742981207027</v>
      </c>
      <c r="I7" s="4">
        <v>0.44576970464499632</v>
      </c>
      <c r="J7" s="4">
        <v>0.40983500169785081</v>
      </c>
      <c r="K7" s="4">
        <v>0.40542928576418352</v>
      </c>
      <c r="L7" s="4">
        <v>0.42691785547977518</v>
      </c>
    </row>
    <row r="8" spans="1:12" x14ac:dyDescent="0.2">
      <c r="A8" s="2">
        <v>5</v>
      </c>
      <c r="B8" s="3" t="s">
        <v>13</v>
      </c>
      <c r="C8" s="3">
        <v>13</v>
      </c>
      <c r="D8" s="3" t="s">
        <v>13</v>
      </c>
      <c r="E8" s="3">
        <v>1</v>
      </c>
      <c r="F8" s="3" t="s">
        <v>14</v>
      </c>
      <c r="G8" s="3">
        <v>2</v>
      </c>
      <c r="H8" s="4">
        <v>0.46891693376092292</v>
      </c>
      <c r="I8" s="4">
        <v>0.46981213757469042</v>
      </c>
      <c r="J8" s="4">
        <v>0.44345457790473058</v>
      </c>
      <c r="K8" s="4">
        <v>0.44222086534792282</v>
      </c>
      <c r="L8" s="4">
        <v>0.45610112864706659</v>
      </c>
    </row>
    <row r="9" spans="1:12" x14ac:dyDescent="0.2">
      <c r="A9" s="2">
        <v>6</v>
      </c>
      <c r="B9" s="3" t="s">
        <v>14</v>
      </c>
      <c r="C9" s="3">
        <v>14</v>
      </c>
      <c r="D9" s="3" t="s">
        <v>13</v>
      </c>
      <c r="E9" s="3">
        <v>1</v>
      </c>
      <c r="F9" s="3" t="s">
        <v>14</v>
      </c>
      <c r="G9" s="3">
        <v>2</v>
      </c>
      <c r="H9" s="4">
        <v>0.49128519474916782</v>
      </c>
      <c r="I9" s="4">
        <v>0.4882333505157625</v>
      </c>
      <c r="J9" s="4">
        <v>0.44408737031885848</v>
      </c>
      <c r="K9" s="4">
        <v>0.43992859083681879</v>
      </c>
      <c r="L9" s="4">
        <v>0.46588362660515192</v>
      </c>
    </row>
    <row r="10" spans="1:12" x14ac:dyDescent="0.2">
      <c r="A10" s="2">
        <v>7</v>
      </c>
      <c r="B10" s="3" t="s">
        <v>13</v>
      </c>
      <c r="C10" s="3">
        <v>13</v>
      </c>
      <c r="D10" s="3" t="s">
        <v>14</v>
      </c>
      <c r="E10" s="3">
        <v>2</v>
      </c>
      <c r="F10" s="3" t="s">
        <v>14</v>
      </c>
      <c r="G10" s="3">
        <v>2</v>
      </c>
      <c r="H10" s="4">
        <v>0.42999930746715681</v>
      </c>
      <c r="I10" s="4">
        <v>0.40434849552556251</v>
      </c>
      <c r="J10" s="4">
        <v>0.44399654545239431</v>
      </c>
      <c r="K10" s="4">
        <v>0.39609725237885451</v>
      </c>
      <c r="L10" s="4">
        <v>0.41861040020599211</v>
      </c>
    </row>
    <row r="11" spans="1:12" x14ac:dyDescent="0.2">
      <c r="A11" s="2">
        <v>8</v>
      </c>
      <c r="B11" s="3" t="s">
        <v>14</v>
      </c>
      <c r="C11" s="3">
        <v>14</v>
      </c>
      <c r="D11" s="3" t="s">
        <v>14</v>
      </c>
      <c r="E11" s="3">
        <v>2</v>
      </c>
      <c r="F11" s="3" t="s">
        <v>14</v>
      </c>
      <c r="G11" s="3">
        <v>2</v>
      </c>
      <c r="H11" s="4">
        <v>0.44558351078620051</v>
      </c>
      <c r="I11" s="4">
        <v>0.44448018847621568</v>
      </c>
      <c r="J11" s="4">
        <v>0.40889597400918559</v>
      </c>
      <c r="K11" s="4">
        <v>0.40392023197245641</v>
      </c>
      <c r="L11" s="4">
        <v>0.42571997631101449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pane ySplit="3" topLeftCell="A4" activePane="bottomLeft" state="frozen"/>
      <selection pane="bottomLeft" activeCell="D11" sqref="D11:H18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15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">
      <c r="A4" s="3">
        <v>1</v>
      </c>
      <c r="B4" s="4">
        <v>1.937827174480455E-2</v>
      </c>
      <c r="C4" s="4">
        <v>-4.3026685409731667E-2</v>
      </c>
      <c r="D4" s="4">
        <v>-1.0762326066690859E-3</v>
      </c>
      <c r="E4" s="4">
        <v>-3.099351725195099E-3</v>
      </c>
      <c r="F4" s="4">
        <v>-4.0203959116018317E-4</v>
      </c>
      <c r="G4" s="4">
        <v>7.1703028136496649E-4</v>
      </c>
      <c r="H4" s="4">
        <v>-2.9267710940550362E-4</v>
      </c>
    </row>
    <row r="5" spans="1:8" x14ac:dyDescent="0.2">
      <c r="A5" s="3">
        <v>2</v>
      </c>
      <c r="B5" s="4">
        <v>2.922830193773578E-2</v>
      </c>
      <c r="C5" s="4">
        <v>-5.4831043560523832E-2</v>
      </c>
      <c r="D5" s="4">
        <v>-1.82914537662722E-3</v>
      </c>
      <c r="E5" s="4">
        <v>1.058640332125722E-2</v>
      </c>
      <c r="F5" s="4">
        <v>4.8151008126856583E-5</v>
      </c>
      <c r="G5" s="4">
        <v>2.22641516186492E-4</v>
      </c>
      <c r="H5" s="4">
        <v>2.6883668353329388E-4</v>
      </c>
    </row>
    <row r="6" spans="1:8" x14ac:dyDescent="0.2">
      <c r="A6" s="3">
        <v>3</v>
      </c>
      <c r="B6" s="4">
        <v>-1.7121815877672919E-2</v>
      </c>
      <c r="C6" s="4">
        <v>-1.775143928907948E-2</v>
      </c>
      <c r="D6" s="4">
        <v>-1.3484453847813079E-3</v>
      </c>
      <c r="E6" s="4">
        <v>-1.7961448353577079E-2</v>
      </c>
      <c r="F6" s="4">
        <v>-1.120736368674935E-4</v>
      </c>
      <c r="G6" s="4">
        <v>4.2672490807486863E-4</v>
      </c>
      <c r="H6" s="4">
        <v>9.4766424908770963E-5</v>
      </c>
    </row>
    <row r="7" spans="1:8" x14ac:dyDescent="0.2">
      <c r="A7" s="3">
        <v>4</v>
      </c>
      <c r="B7" s="4">
        <v>2.7708866944556741E-3</v>
      </c>
      <c r="C7" s="4">
        <v>-4.1106657670285512E-2</v>
      </c>
      <c r="D7" s="4">
        <v>-1.6457596942207611E-3</v>
      </c>
      <c r="E7" s="4">
        <v>4.9560587502227166E-3</v>
      </c>
      <c r="F7" s="4">
        <v>-5.5341532067404442E-6</v>
      </c>
      <c r="G7" s="4">
        <v>4.067175357017061E-5</v>
      </c>
      <c r="H7" s="4">
        <v>1.015683021302477E-4</v>
      </c>
    </row>
    <row r="10" spans="1:8" x14ac:dyDescent="0.2">
      <c r="A10" s="10" t="s">
        <v>24</v>
      </c>
      <c r="B10" s="9"/>
      <c r="C10" s="9"/>
      <c r="D10" s="9"/>
      <c r="E10" s="9"/>
      <c r="F10" s="9"/>
      <c r="G10" s="9"/>
    </row>
    <row r="11" spans="1:8" x14ac:dyDescent="0.2">
      <c r="A11" s="1" t="s">
        <v>25</v>
      </c>
      <c r="B11" s="1" t="s">
        <v>26</v>
      </c>
      <c r="C11" s="1" t="s">
        <v>27</v>
      </c>
      <c r="D11" s="13" t="s">
        <v>61</v>
      </c>
      <c r="E11" s="1" t="s">
        <v>28</v>
      </c>
      <c r="F11" s="1" t="s">
        <v>29</v>
      </c>
      <c r="G11" s="1" t="s">
        <v>30</v>
      </c>
      <c r="H11" s="1" t="s">
        <v>31</v>
      </c>
    </row>
    <row r="12" spans="1:8" ht="28" x14ac:dyDescent="0.2">
      <c r="A12" s="5" t="s">
        <v>17</v>
      </c>
      <c r="B12" s="4">
        <v>8.5639111248307712E-3</v>
      </c>
      <c r="C12" s="4">
        <v>2.03083164162319E-2</v>
      </c>
      <c r="D12" s="4">
        <f>_xlfn.T.INV.2T(0.1/7,3)</f>
        <v>5.1376545051185385</v>
      </c>
      <c r="E12" s="4">
        <f>C12*D12/SQRT(4)</f>
        <v>5.2168556663613294E-2</v>
      </c>
      <c r="F12" s="4">
        <f>B12-E12</f>
        <v>-4.3604645538782523E-2</v>
      </c>
      <c r="G12" s="14">
        <f>B12+E12</f>
        <v>6.0732467788444065E-2</v>
      </c>
      <c r="H12" s="15" t="s">
        <v>32</v>
      </c>
    </row>
    <row r="13" spans="1:8" ht="16" x14ac:dyDescent="0.2">
      <c r="A13" s="5" t="s">
        <v>18</v>
      </c>
      <c r="B13" s="4">
        <v>-3.9178956482405117E-2</v>
      </c>
      <c r="C13" s="4">
        <v>1.5520388448094309E-2</v>
      </c>
      <c r="D13" s="4">
        <f t="shared" ref="D13:D18" si="0">_xlfn.T.INV.2T(0.1/7,3)</f>
        <v>5.1376545051185385</v>
      </c>
      <c r="E13" s="4">
        <f t="shared" ref="E13:E18" si="1">C13*D13/SQRT(4)</f>
        <v>3.9869196815770724E-2</v>
      </c>
      <c r="F13" s="4">
        <f t="shared" ref="F13:F17" si="2">B13-E13</f>
        <v>-7.9048153298175841E-2</v>
      </c>
      <c r="G13" s="14">
        <f t="shared" ref="G13:G18" si="3">B13+E13</f>
        <v>6.9024033336560764E-4</v>
      </c>
      <c r="H13" s="15" t="s">
        <v>32</v>
      </c>
    </row>
    <row r="14" spans="1:8" ht="16" x14ac:dyDescent="0.2">
      <c r="A14" s="5" t="s">
        <v>19</v>
      </c>
      <c r="B14" s="4">
        <v>-1.4748957655745939E-3</v>
      </c>
      <c r="C14" s="4">
        <v>3.314660777589084E-4</v>
      </c>
      <c r="D14" s="4">
        <f t="shared" si="0"/>
        <v>5.1376545051185385</v>
      </c>
      <c r="E14" s="4">
        <f t="shared" si="1"/>
        <v>8.5147909384601379E-4</v>
      </c>
      <c r="F14" s="4">
        <f t="shared" si="2"/>
        <v>-2.3263748594206076E-3</v>
      </c>
      <c r="G14" s="14">
        <f t="shared" si="3"/>
        <v>-6.234166717285801E-4</v>
      </c>
      <c r="H14" s="16" t="s">
        <v>33</v>
      </c>
    </row>
    <row r="15" spans="1:8" ht="28" x14ac:dyDescent="0.2">
      <c r="A15" s="5" t="s">
        <v>34</v>
      </c>
      <c r="B15" s="4">
        <v>-1.379584501823058E-3</v>
      </c>
      <c r="C15" s="4">
        <v>1.2399476441903911E-2</v>
      </c>
      <c r="D15" s="4">
        <f t="shared" si="0"/>
        <v>5.1376545051185385</v>
      </c>
      <c r="E15" s="4">
        <f t="shared" si="1"/>
        <v>3.1852113001429407E-2</v>
      </c>
      <c r="F15" s="4">
        <f t="shared" si="2"/>
        <v>-3.3231697503252465E-2</v>
      </c>
      <c r="G15" s="14">
        <f t="shared" si="3"/>
        <v>3.0472528499606348E-2</v>
      </c>
      <c r="H15" s="15" t="s">
        <v>32</v>
      </c>
    </row>
    <row r="16" spans="1:8" ht="28" x14ac:dyDescent="0.2">
      <c r="A16" s="5" t="s">
        <v>35</v>
      </c>
      <c r="B16" s="4">
        <v>-1.1787409327689009E-4</v>
      </c>
      <c r="C16" s="4">
        <v>2.008052721028562E-4</v>
      </c>
      <c r="D16" s="4">
        <f t="shared" si="0"/>
        <v>5.1376545051185385</v>
      </c>
      <c r="E16" s="4">
        <f>C16*D16/SQRT(4)</f>
        <v>5.1583405543539657E-4</v>
      </c>
      <c r="F16" s="4">
        <f t="shared" si="2"/>
        <v>-6.3370814871228671E-4</v>
      </c>
      <c r="G16" s="17">
        <f>B16+E16</f>
        <v>3.9795996215850649E-4</v>
      </c>
      <c r="H16" s="15" t="s">
        <v>32</v>
      </c>
    </row>
    <row r="17" spans="1:8" ht="28" x14ac:dyDescent="0.2">
      <c r="A17" s="5" t="s">
        <v>36</v>
      </c>
      <c r="B17" s="4">
        <v>3.5176711479912443E-4</v>
      </c>
      <c r="C17" s="4">
        <v>2.9010894253579938E-4</v>
      </c>
      <c r="D17" s="4">
        <f t="shared" si="0"/>
        <v>5.1376545051185385</v>
      </c>
      <c r="E17" s="4">
        <f t="shared" si="1"/>
        <v>7.4523975779711247E-4</v>
      </c>
      <c r="F17" s="4">
        <f t="shared" si="2"/>
        <v>-3.9347264299798804E-4</v>
      </c>
      <c r="G17" s="14">
        <f t="shared" si="3"/>
        <v>1.0970068725962368E-3</v>
      </c>
      <c r="H17" s="15" t="s">
        <v>32</v>
      </c>
    </row>
    <row r="18" spans="1:8" ht="28" x14ac:dyDescent="0.2">
      <c r="A18" s="5" t="s">
        <v>37</v>
      </c>
      <c r="B18" s="4">
        <v>4.3123575291702243E-5</v>
      </c>
      <c r="C18" s="4">
        <v>2.3790143413256689E-4</v>
      </c>
      <c r="D18" s="4">
        <f t="shared" si="0"/>
        <v>5.1376545051185385</v>
      </c>
      <c r="E18" s="4">
        <f t="shared" si="1"/>
        <v>6.1112768742267178E-4</v>
      </c>
      <c r="F18" s="4">
        <f>B18-E18</f>
        <v>-5.6800411213096954E-4</v>
      </c>
      <c r="G18" s="14">
        <f t="shared" si="3"/>
        <v>6.5425126271437403E-4</v>
      </c>
      <c r="H18" s="15" t="s">
        <v>32</v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39</v>
      </c>
    </row>
    <row r="4" spans="1:17" x14ac:dyDescent="0.2">
      <c r="A4" s="1" t="s">
        <v>40</v>
      </c>
      <c r="B4" s="1" t="s">
        <v>41</v>
      </c>
      <c r="C4" s="1" t="s">
        <v>42</v>
      </c>
      <c r="E4" s="1" t="s">
        <v>40</v>
      </c>
      <c r="F4" s="1" t="s">
        <v>41</v>
      </c>
      <c r="G4" s="1" t="s">
        <v>43</v>
      </c>
      <c r="I4" s="1" t="s">
        <v>40</v>
      </c>
      <c r="J4" s="1" t="s">
        <v>41</v>
      </c>
      <c r="K4" s="1" t="s">
        <v>44</v>
      </c>
    </row>
    <row r="5" spans="1:17" x14ac:dyDescent="0.2">
      <c r="A5" s="3" t="s">
        <v>13</v>
      </c>
      <c r="B5" s="4">
        <v>0.43803427526267819</v>
      </c>
      <c r="C5" s="6">
        <v>13</v>
      </c>
      <c r="E5" s="3" t="s">
        <v>13</v>
      </c>
      <c r="F5" s="4">
        <v>0.46190570906629608</v>
      </c>
      <c r="G5" s="6">
        <v>1</v>
      </c>
      <c r="I5" s="3" t="s">
        <v>13</v>
      </c>
      <c r="J5" s="4">
        <v>0.44305367870788093</v>
      </c>
      <c r="K5" s="6">
        <v>1</v>
      </c>
    </row>
    <row r="6" spans="1:17" x14ac:dyDescent="0.2">
      <c r="A6" s="3" t="s">
        <v>14</v>
      </c>
      <c r="B6" s="4">
        <v>0.44659818638750898</v>
      </c>
      <c r="C6" s="6">
        <v>14</v>
      </c>
      <c r="E6" s="3" t="s">
        <v>14</v>
      </c>
      <c r="F6" s="4">
        <v>0.42272675258389097</v>
      </c>
      <c r="G6" s="6">
        <v>2</v>
      </c>
      <c r="I6" s="3" t="s">
        <v>14</v>
      </c>
      <c r="J6" s="4">
        <v>0.44157878294230629</v>
      </c>
      <c r="K6" s="6">
        <v>2</v>
      </c>
    </row>
    <row r="25" spans="1:8" ht="28" x14ac:dyDescent="0.2">
      <c r="A25" s="1" t="s">
        <v>45</v>
      </c>
    </row>
    <row r="27" spans="1:8" x14ac:dyDescent="0.2">
      <c r="A27" s="10" t="s">
        <v>46</v>
      </c>
      <c r="B27" s="11"/>
      <c r="C27" s="12"/>
      <c r="E27" s="10" t="s">
        <v>47</v>
      </c>
      <c r="F27" s="11"/>
      <c r="G27" s="12"/>
    </row>
    <row r="28" spans="1:8" x14ac:dyDescent="0.2">
      <c r="A28" s="1" t="s">
        <v>42</v>
      </c>
      <c r="B28" s="1" t="s">
        <v>48</v>
      </c>
      <c r="C28" s="1" t="s">
        <v>49</v>
      </c>
      <c r="D28" s="1" t="s">
        <v>50</v>
      </c>
      <c r="E28" s="1" t="s">
        <v>42</v>
      </c>
      <c r="F28" s="1" t="s">
        <v>48</v>
      </c>
      <c r="G28" s="1" t="s">
        <v>49</v>
      </c>
      <c r="H28" s="1" t="s">
        <v>50</v>
      </c>
    </row>
    <row r="29" spans="1:8" x14ac:dyDescent="0.2">
      <c r="A29" s="3">
        <v>13</v>
      </c>
      <c r="B29" s="4">
        <v>0.45776679385887181</v>
      </c>
      <c r="C29" s="4">
        <v>0.41965877833878229</v>
      </c>
      <c r="E29" s="3">
        <v>13</v>
      </c>
      <c r="F29" s="4">
        <v>0.45610112864706659</v>
      </c>
      <c r="G29" s="4">
        <v>0.41861040020599211</v>
      </c>
    </row>
    <row r="30" spans="1:8" x14ac:dyDescent="0.2">
      <c r="A30" s="3">
        <v>14</v>
      </c>
      <c r="B30" s="4">
        <v>0.46787128715409421</v>
      </c>
      <c r="C30" s="4">
        <v>0.42691785547977518</v>
      </c>
      <c r="E30" s="3">
        <v>14</v>
      </c>
      <c r="F30" s="4">
        <v>0.46588362660515192</v>
      </c>
      <c r="G30" s="4">
        <v>0.42571997631101449</v>
      </c>
    </row>
    <row r="52" spans="1:8" x14ac:dyDescent="0.2">
      <c r="A52" s="10" t="s">
        <v>51</v>
      </c>
      <c r="B52" s="11"/>
      <c r="C52" s="12"/>
      <c r="E52" s="10" t="s">
        <v>52</v>
      </c>
      <c r="F52" s="11"/>
      <c r="G52" s="12"/>
    </row>
    <row r="53" spans="1:8" x14ac:dyDescent="0.2">
      <c r="A53" s="1" t="s">
        <v>42</v>
      </c>
      <c r="B53" s="1" t="s">
        <v>53</v>
      </c>
      <c r="C53" s="1" t="s">
        <v>54</v>
      </c>
      <c r="D53" s="1" t="s">
        <v>55</v>
      </c>
      <c r="E53" s="1" t="s">
        <v>42</v>
      </c>
      <c r="F53" s="1" t="s">
        <v>53</v>
      </c>
      <c r="G53" s="1" t="s">
        <v>54</v>
      </c>
      <c r="H53" s="1" t="s">
        <v>55</v>
      </c>
    </row>
    <row r="54" spans="1:8" x14ac:dyDescent="0.2">
      <c r="A54" s="3">
        <v>13</v>
      </c>
      <c r="B54" s="4">
        <v>0.45776679385887181</v>
      </c>
      <c r="C54" s="4">
        <v>0.45610112864706659</v>
      </c>
      <c r="E54" s="3">
        <v>13</v>
      </c>
      <c r="F54" s="4">
        <v>0.41965877833878229</v>
      </c>
      <c r="G54" s="4">
        <v>0.41861040020599211</v>
      </c>
    </row>
    <row r="55" spans="1:8" x14ac:dyDescent="0.2">
      <c r="A55" s="3">
        <v>14</v>
      </c>
      <c r="B55" s="4">
        <v>0.46787128715409421</v>
      </c>
      <c r="C55" s="4">
        <v>0.46588362660515192</v>
      </c>
      <c r="E55" s="3">
        <v>14</v>
      </c>
      <c r="F55" s="4">
        <v>0.42691785547977518</v>
      </c>
      <c r="G55" s="4">
        <v>0.42571997631101449</v>
      </c>
    </row>
    <row r="77" spans="1:8" x14ac:dyDescent="0.2">
      <c r="A77" s="10" t="s">
        <v>56</v>
      </c>
      <c r="B77" s="11"/>
      <c r="C77" s="12"/>
      <c r="E77" s="10" t="s">
        <v>57</v>
      </c>
      <c r="F77" s="11"/>
      <c r="G77" s="12"/>
    </row>
    <row r="78" spans="1:8" ht="28" x14ac:dyDescent="0.2">
      <c r="A78" s="1" t="s">
        <v>43</v>
      </c>
      <c r="B78" s="1" t="s">
        <v>53</v>
      </c>
      <c r="C78" s="1" t="s">
        <v>54</v>
      </c>
      <c r="D78" s="1" t="s">
        <v>58</v>
      </c>
      <c r="E78" s="1" t="s">
        <v>43</v>
      </c>
      <c r="F78" s="1" t="s">
        <v>53</v>
      </c>
      <c r="G78" s="1" t="s">
        <v>54</v>
      </c>
      <c r="H78" s="1" t="s">
        <v>58</v>
      </c>
    </row>
    <row r="79" spans="1:8" x14ac:dyDescent="0.2">
      <c r="A79" s="3">
        <v>1</v>
      </c>
      <c r="B79" s="4">
        <v>0.45776679385887181</v>
      </c>
      <c r="C79" s="4">
        <v>0.45610112864706659</v>
      </c>
      <c r="E79" s="3">
        <v>1</v>
      </c>
      <c r="F79" s="4">
        <v>0.46787128715409421</v>
      </c>
      <c r="G79" s="4">
        <v>0.46588362660515192</v>
      </c>
    </row>
    <row r="80" spans="1:8" x14ac:dyDescent="0.2">
      <c r="A80" s="3">
        <v>2</v>
      </c>
      <c r="B80" s="4">
        <v>0.41965877833878229</v>
      </c>
      <c r="C80" s="4">
        <v>0.41861040020599211</v>
      </c>
      <c r="E80" s="3">
        <v>2</v>
      </c>
      <c r="F80" s="4">
        <v>0.42691785547977518</v>
      </c>
      <c r="G80" s="4">
        <v>0.42571997631101449</v>
      </c>
    </row>
    <row r="110" spans="1:1" ht="28" x14ac:dyDescent="0.2">
      <c r="A110" s="1" t="s">
        <v>59</v>
      </c>
    </row>
    <row r="111" spans="1:1" ht="208" x14ac:dyDescent="0.2">
      <c r="A111" s="7" t="s">
        <v>60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2026-05-06T16:15:15Z</dcterms:created>
  <dcterms:modified xsi:type="dcterms:W3CDTF">2026-05-06T16:40:12Z</dcterms:modified>
</cp:coreProperties>
</file>