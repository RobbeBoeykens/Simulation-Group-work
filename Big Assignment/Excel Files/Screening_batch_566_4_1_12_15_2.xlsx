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A44D09F6-8960-D94D-9D7F-9FE10F3AF26F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2" l="1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G10" i="2" l="1"/>
  <c r="F10" i="2"/>
  <c r="G11" i="2"/>
  <c r="F11" i="2"/>
  <c r="G12" i="2"/>
  <c r="F12" i="2"/>
  <c r="G13" i="2"/>
  <c r="F13" i="2"/>
  <c r="G14" i="2"/>
  <c r="F14" i="2"/>
  <c r="G15" i="2"/>
  <c r="F15" i="2"/>
  <c r="G16" i="2"/>
  <c r="F16" i="2"/>
</calcChain>
</file>

<file path=xl/sharedStrings.xml><?xml version="1.0" encoding="utf-8"?>
<sst xmlns="http://schemas.openxmlformats.org/spreadsheetml/2006/main" count="117" uniqueCount="60">
  <si>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</si>
  <si>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</si>
  <si>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</si>
  <si>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</si>
  <si>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</si>
  <si>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</si>
  <si>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</si>
  <si>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</si>
  <si>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</si>
  <si>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</si>
  <si>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</si>
  <si>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</si>
  <si>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</si>
  <si>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</si>
  <si>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</si>
  <si>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</si>
  <si>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</si>
  <si>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</si>
  <si>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</si>
  <si>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</si>
  <si>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</si>
  <si>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</si>
  <si>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</si>
  <si>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</si>
  <si>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</si>
  <si>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</si>
  <si>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</si>
  <si>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</si>
  <si>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</si>
  <si>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</si>
  <si>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</si>
  <si>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e12 urgent × strategy</t>
  </si>
  <si>
    <t>NO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</si>
  <si>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</si>
  <si>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</si>
  <si>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</si>
  <si>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</si>
  <si>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</si>
  <si>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</si>
  <si>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</si>
  <si>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</si>
  <si>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</si>
  <si>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</si>
  <si>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</si>
  <si>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</si>
  <si>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</si>
  <si>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</si>
  <si>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</si>
  <si>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</si>
  <si>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</si>
  <si>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</si>
  <si>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</si>
  <si>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</si>
  <si>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</si>
  <si>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</si>
  <si>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(15)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</si>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</sst>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4" borderId="0" xfId="1"/>
    <xf numFmtId="0" fontId="7" fillId="5" borderId="0" xfId="2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0.150607802014605</c:v>
                </c:pt>
                <c:pt idx="1">
                  <c:v>0.74096596734265496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7B-3D4F-B130-B48F1404E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0.14887067707382079</c:v>
                </c:pt>
                <c:pt idx="1">
                  <c:v>0.74270309228343923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FF-3E47-B5A4-7E658DEDA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0.43853601678535109</c:v>
                </c:pt>
                <c:pt idx="1">
                  <c:v>0.45303775257190892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35-DA4D-BD33-B6AA123A6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-0.13645264264075371</c:v>
                </c:pt>
                <c:pt idx="1">
                  <c:v>0.40653796788078389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EA-394C-BF15-C59225110036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0.43970104795631071</c:v>
                </c:pt>
                <c:pt idx="1">
                  <c:v>1.0443576939450641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EA-394C-BF15-C59225110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-0.13987097057741271</c:v>
                </c:pt>
                <c:pt idx="1">
                  <c:v>0.465268353632666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76-BE43-8C41-264EC73B0497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0.43905377332027579</c:v>
                </c:pt>
                <c:pt idx="1">
                  <c:v>1.0476998539121061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76-BE43-8C41-264EC73B0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-0.13645264264075371</c:v>
                </c:pt>
                <c:pt idx="1">
                  <c:v>0.40653796788078389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EA-1348-A870-11DB2BD9412A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-0.13987097057741271</c:v>
                </c:pt>
                <c:pt idx="1">
                  <c:v>0.465268353632666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EA-1348-A870-11DB2BD94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0.43970104795631071</c:v>
                </c:pt>
                <c:pt idx="1">
                  <c:v>1.0443576939450641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7A-A644-B689-E9BEAF2352A2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0.43905377332027579</c:v>
                </c:pt>
                <c:pt idx="1">
                  <c:v>1.0476998539121061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7A-A644-B689-E9BEAF23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-0.13645264264075371</c:v>
                </c:pt>
                <c:pt idx="1">
                  <c:v>0.43970104795631071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6A-624A-89D5-2AEAEE0585C9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-0.13987097057741271</c:v>
                </c:pt>
                <c:pt idx="1">
                  <c:v>0.43905377332027579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6A-624A-89D5-2AEAEE05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0.40653796788078389</c:v>
                </c:pt>
                <c:pt idx="1">
                  <c:v>1.0443576939450641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8F-A84C-B509-1D638C04437D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0.465268353632666</c:v>
                </c:pt>
                <c:pt idx="1">
                  <c:v>1.0476998539121061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8F-A84C-B509-1D638C044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9" width="14" customWidth="1"/>
    <col min="10" max="10" width="16" customWidth="1"/>
  </cols>
  <sheetData>
    <row r="1" spans="1:10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3" spans="1:10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">
      <c r="A4" s="2">
        <v>1</v>
      </c>
      <c r="B4" s="3" t="s">
        <v>11</v>
      </c>
      <c r="C4" s="3">
        <v>12</v>
      </c>
      <c r="D4" s="3" t="s">
        <v>11</v>
      </c>
      <c r="E4" s="3">
        <v>1</v>
      </c>
      <c r="F4" s="3" t="s">
        <v>11</v>
      </c>
      <c r="G4" s="3">
        <v>1</v>
      </c>
      <c r="H4" s="4">
        <v>-0.16022934419759369</v>
      </c>
      <c r="I4" s="4">
        <v>-0.11267594108391379</v>
      </c>
      <c r="J4" s="4">
        <v>-0.13645264264075371</v>
      </c>
    </row>
    <row r="5" spans="1:10" x14ac:dyDescent="0.2">
      <c r="A5" s="2">
        <v>2</v>
      </c>
      <c r="B5" s="3" t="s">
        <v>12</v>
      </c>
      <c r="C5" s="3">
        <v>15</v>
      </c>
      <c r="D5" s="3" t="s">
        <v>11</v>
      </c>
      <c r="E5" s="3">
        <v>1</v>
      </c>
      <c r="F5" s="3" t="s">
        <v>11</v>
      </c>
      <c r="G5" s="3">
        <v>1</v>
      </c>
      <c r="H5" s="4">
        <v>0.36133151470604341</v>
      </c>
      <c r="I5" s="4">
        <v>0.45174442105552431</v>
      </c>
      <c r="J5" s="4">
        <v>0.40653796788078389</v>
      </c>
    </row>
    <row r="6" spans="1:10" x14ac:dyDescent="0.2">
      <c r="A6" s="2">
        <v>3</v>
      </c>
      <c r="B6" s="3" t="s">
        <v>11</v>
      </c>
      <c r="C6" s="3">
        <v>12</v>
      </c>
      <c r="D6" s="3" t="s">
        <v>12</v>
      </c>
      <c r="E6" s="3">
        <v>2</v>
      </c>
      <c r="F6" s="3" t="s">
        <v>11</v>
      </c>
      <c r="G6" s="3">
        <v>1</v>
      </c>
      <c r="H6" s="4">
        <v>0.41359735630798111</v>
      </c>
      <c r="I6" s="4">
        <v>0.46580473960464031</v>
      </c>
      <c r="J6" s="4">
        <v>0.43970104795631071</v>
      </c>
    </row>
    <row r="7" spans="1:10" x14ac:dyDescent="0.2">
      <c r="A7" s="2">
        <v>4</v>
      </c>
      <c r="B7" s="3" t="s">
        <v>12</v>
      </c>
      <c r="C7" s="3">
        <v>15</v>
      </c>
      <c r="D7" s="3" t="s">
        <v>12</v>
      </c>
      <c r="E7" s="3">
        <v>2</v>
      </c>
      <c r="F7" s="3" t="s">
        <v>11</v>
      </c>
      <c r="G7" s="3">
        <v>1</v>
      </c>
      <c r="H7" s="4">
        <v>0.9749904241850329</v>
      </c>
      <c r="I7" s="4">
        <v>1.113724963705095</v>
      </c>
      <c r="J7" s="4">
        <v>1.0443576939450641</v>
      </c>
    </row>
    <row r="8" spans="1:10" x14ac:dyDescent="0.2">
      <c r="A8" s="2">
        <v>5</v>
      </c>
      <c r="B8" s="3" t="s">
        <v>11</v>
      </c>
      <c r="C8" s="3">
        <v>12</v>
      </c>
      <c r="D8" s="3" t="s">
        <v>11</v>
      </c>
      <c r="E8" s="3">
        <v>1</v>
      </c>
      <c r="F8" s="3" t="s">
        <v>12</v>
      </c>
      <c r="G8" s="3">
        <v>2</v>
      </c>
      <c r="H8" s="4">
        <v>-0.163723461408499</v>
      </c>
      <c r="I8" s="4">
        <v>-0.1160184797463264</v>
      </c>
      <c r="J8" s="4">
        <v>-0.13987097057741271</v>
      </c>
    </row>
    <row r="9" spans="1:10" x14ac:dyDescent="0.2">
      <c r="A9" s="2">
        <v>6</v>
      </c>
      <c r="B9" s="3" t="s">
        <v>12</v>
      </c>
      <c r="C9" s="3">
        <v>15</v>
      </c>
      <c r="D9" s="3" t="s">
        <v>11</v>
      </c>
      <c r="E9" s="3">
        <v>1</v>
      </c>
      <c r="F9" s="3" t="s">
        <v>12</v>
      </c>
      <c r="G9" s="3">
        <v>2</v>
      </c>
      <c r="H9" s="4">
        <v>0.42268722827295729</v>
      </c>
      <c r="I9" s="4">
        <v>0.50784947899237465</v>
      </c>
      <c r="J9" s="4">
        <v>0.465268353632666</v>
      </c>
    </row>
    <row r="10" spans="1:10" x14ac:dyDescent="0.2">
      <c r="A10" s="2">
        <v>7</v>
      </c>
      <c r="B10" s="3" t="s">
        <v>11</v>
      </c>
      <c r="C10" s="3">
        <v>12</v>
      </c>
      <c r="D10" s="3" t="s">
        <v>12</v>
      </c>
      <c r="E10" s="3">
        <v>2</v>
      </c>
      <c r="F10" s="3" t="s">
        <v>12</v>
      </c>
      <c r="G10" s="3">
        <v>2</v>
      </c>
      <c r="H10" s="4">
        <v>0.41284312247051058</v>
      </c>
      <c r="I10" s="4">
        <v>0.4652644241700411</v>
      </c>
      <c r="J10" s="4">
        <v>0.43905377332027579</v>
      </c>
    </row>
    <row r="11" spans="1:10" x14ac:dyDescent="0.2">
      <c r="A11" s="2">
        <v>8</v>
      </c>
      <c r="B11" s="3" t="s">
        <v>12</v>
      </c>
      <c r="C11" s="3">
        <v>15</v>
      </c>
      <c r="D11" s="3" t="s">
        <v>12</v>
      </c>
      <c r="E11" s="3">
        <v>2</v>
      </c>
      <c r="F11" s="3" t="s">
        <v>12</v>
      </c>
      <c r="G11" s="3">
        <v>2</v>
      </c>
      <c r="H11" s="4">
        <v>0.97783321351262853</v>
      </c>
      <c r="I11" s="4">
        <v>1.1175664943115839</v>
      </c>
      <c r="J11" s="4">
        <v>1.0476998539121061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125" workbookViewId="0">
      <pane ySplit="3" topLeftCell="A8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13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2">
      <c r="A4" s="3">
        <v>1</v>
      </c>
      <c r="B4" s="4">
        <v>0.55858867687606573</v>
      </c>
      <c r="C4" s="4">
        <v>0.5797995447758113</v>
      </c>
      <c r="D4" s="4">
        <v>1.49875379615334E-2</v>
      </c>
      <c r="E4" s="4">
        <v>4.6029025835190576E-3</v>
      </c>
      <c r="F4" s="4">
        <v>1.7111713485721349E-2</v>
      </c>
      <c r="G4" s="4">
        <v>-1.394326021647083E-2</v>
      </c>
      <c r="H4" s="4">
        <v>-1.5313201903188269E-2</v>
      </c>
    </row>
    <row r="5" spans="1:8" x14ac:dyDescent="0.2">
      <c r="A5" s="3">
        <v>2</v>
      </c>
      <c r="B5" s="4">
        <v>0.62212765378003421</v>
      </c>
      <c r="C5" s="4">
        <v>0.60786528564342523</v>
      </c>
      <c r="D5" s="4">
        <v>1.401593361158188E-2</v>
      </c>
      <c r="E5" s="4">
        <v>2.798349334096456E-2</v>
      </c>
      <c r="F5" s="4">
        <v>1.5957360660087849E-2</v>
      </c>
      <c r="G5" s="4">
        <v>-1.236532602563695E-2</v>
      </c>
      <c r="H5" s="4">
        <v>-1.37664376395436E-2</v>
      </c>
    </row>
    <row r="8" spans="1:8" x14ac:dyDescent="0.2">
      <c r="A8" s="10" t="s">
        <v>22</v>
      </c>
      <c r="B8" s="9"/>
      <c r="C8" s="9"/>
      <c r="D8" s="9"/>
      <c r="E8" s="9"/>
      <c r="F8" s="9"/>
      <c r="G8" s="9"/>
    </row>
    <row r="9" spans="1:8" x14ac:dyDescent="0.2">
      <c r="A9" s="1" t="s">
        <v>23</v>
      </c>
      <c r="B9" s="1" t="s">
        <v>24</v>
      </c>
      <c r="C9" s="1" t="s">
        <v>25</v>
      </c>
      <c r="D9" s="13" t="s">
        <v>59</v>
      </c>
      <c r="E9" s="1" t="s">
        <v>26</v>
      </c>
      <c r="F9" s="1" t="s">
        <v>27</v>
      </c>
      <c r="G9" s="1" t="s">
        <v>28</v>
      </c>
      <c r="H9" s="1" t="s">
        <v>29</v>
      </c>
    </row>
    <row r="10" spans="1:8" ht="28" x14ac:dyDescent="0.2">
      <c r="A10" s="5" t="s">
        <v>15</v>
      </c>
      <c r="B10" s="4">
        <v>0.59035816532804997</v>
      </c>
      <c r="C10" s="4">
        <v>4.4928841438451543E-2</v>
      </c>
      <c r="D10" s="4">
        <f>_xlfn.T.INV.2T(0.1/7,3)</f>
        <v>5.1376545051185385</v>
      </c>
      <c r="E10" s="4">
        <f>C10*D10/SQRT(4)</f>
        <v>0.11541443231300852</v>
      </c>
      <c r="F10" s="4">
        <f>B10-E10</f>
        <v>0.47494373301504145</v>
      </c>
      <c r="G10" s="14">
        <f>B10+E10</f>
        <v>0.70577259764105849</v>
      </c>
      <c r="H10" s="15" t="s">
        <v>30</v>
      </c>
    </row>
    <row r="11" spans="1:8" ht="16" x14ac:dyDescent="0.2">
      <c r="A11" s="5" t="s">
        <v>16</v>
      </c>
      <c r="B11" s="4">
        <v>0.59383241520961827</v>
      </c>
      <c r="C11" s="4">
        <v>1.9845475686514229E-2</v>
      </c>
      <c r="D11" s="4">
        <f t="shared" ref="D11:D16" si="0">_xlfn.T.INV.2T(0.1/7,3)</f>
        <v>5.1376545051185385</v>
      </c>
      <c r="E11" s="4">
        <f t="shared" ref="E11:E16" si="1">C11*D11/SQRT(4)</f>
        <v>5.0979598783520125E-2</v>
      </c>
      <c r="F11" s="4">
        <f t="shared" ref="F11:F15" si="2">B11-E11</f>
        <v>0.54285281642609817</v>
      </c>
      <c r="G11" s="14">
        <f t="shared" ref="G11:G16" si="3">B11+E11</f>
        <v>0.64481201399313837</v>
      </c>
      <c r="H11" s="15" t="s">
        <v>30</v>
      </c>
    </row>
    <row r="12" spans="1:8" ht="16" x14ac:dyDescent="0.2">
      <c r="A12" s="5" t="s">
        <v>17</v>
      </c>
      <c r="B12" s="4">
        <v>1.450173578655764E-2</v>
      </c>
      <c r="C12" s="4">
        <v>6.8702802448107213E-4</v>
      </c>
      <c r="D12" s="4">
        <f t="shared" si="0"/>
        <v>5.1376545051185385</v>
      </c>
      <c r="E12" s="4">
        <f t="shared" si="1"/>
        <v>1.7648563125589349E-3</v>
      </c>
      <c r="F12" s="4">
        <f t="shared" si="2"/>
        <v>1.2736879473998704E-2</v>
      </c>
      <c r="G12" s="14">
        <f t="shared" si="3"/>
        <v>1.6266592099116576E-2</v>
      </c>
      <c r="H12" s="15" t="s">
        <v>30</v>
      </c>
    </row>
    <row r="13" spans="1:8" ht="28" x14ac:dyDescent="0.2">
      <c r="A13" s="5" t="s">
        <v>31</v>
      </c>
      <c r="B13" s="4">
        <v>1.6293197962241809E-2</v>
      </c>
      <c r="C13" s="4">
        <v>1.653257427273723E-2</v>
      </c>
      <c r="D13" s="4">
        <f t="shared" si="0"/>
        <v>5.1376545051185385</v>
      </c>
      <c r="E13" s="4">
        <f t="shared" si="1"/>
        <v>4.2469327346767637E-2</v>
      </c>
      <c r="F13" s="4">
        <f t="shared" si="2"/>
        <v>-2.6176129384525827E-2</v>
      </c>
      <c r="G13" s="14">
        <f t="shared" si="3"/>
        <v>5.8762525309009446E-2</v>
      </c>
      <c r="H13" s="16" t="s">
        <v>32</v>
      </c>
    </row>
    <row r="14" spans="1:8" ht="28" x14ac:dyDescent="0.2">
      <c r="A14" s="5" t="s">
        <v>33</v>
      </c>
      <c r="B14" s="4">
        <v>1.6534537072904601E-2</v>
      </c>
      <c r="C14" s="4">
        <v>8.162507108873025E-4</v>
      </c>
      <c r="D14" s="4">
        <f t="shared" si="0"/>
        <v>5.1376545051185385</v>
      </c>
      <c r="E14" s="4">
        <f>C14*D14/SQRT(4)</f>
        <v>2.0968070710481795E-3</v>
      </c>
      <c r="F14" s="4">
        <f t="shared" si="2"/>
        <v>1.4437730001856421E-2</v>
      </c>
      <c r="G14" s="17">
        <f>B14+E14</f>
        <v>1.8631344143952781E-2</v>
      </c>
      <c r="H14" s="15" t="s">
        <v>30</v>
      </c>
    </row>
    <row r="15" spans="1:8" ht="28" x14ac:dyDescent="0.2">
      <c r="A15" s="5" t="s">
        <v>34</v>
      </c>
      <c r="B15" s="4">
        <v>-1.315429312105389E-2</v>
      </c>
      <c r="C15" s="4">
        <v>1.1157679666047441E-3</v>
      </c>
      <c r="D15" s="4">
        <f t="shared" si="0"/>
        <v>5.1376545051185385</v>
      </c>
      <c r="E15" s="4">
        <f t="shared" si="1"/>
        <v>2.8662151601469071E-3</v>
      </c>
      <c r="F15" s="4">
        <f t="shared" si="2"/>
        <v>-1.6020508281200798E-2</v>
      </c>
      <c r="G15" s="14">
        <f t="shared" si="3"/>
        <v>-1.0288077960906982E-2</v>
      </c>
      <c r="H15" s="15" t="s">
        <v>30</v>
      </c>
    </row>
    <row r="16" spans="1:8" ht="28" x14ac:dyDescent="0.2">
      <c r="A16" s="5" t="s">
        <v>35</v>
      </c>
      <c r="B16" s="4">
        <v>-1.4539819771365941E-2</v>
      </c>
      <c r="C16" s="4">
        <v>1.0937274997201609E-3</v>
      </c>
      <c r="D16" s="4">
        <f t="shared" si="0"/>
        <v>5.1376545051185385</v>
      </c>
      <c r="E16" s="4">
        <f t="shared" si="1"/>
        <v>2.8095970081546597E-3</v>
      </c>
      <c r="F16" s="4">
        <f>B16-E16</f>
        <v>-1.73494167795206E-2</v>
      </c>
      <c r="G16" s="14">
        <f t="shared" si="3"/>
        <v>-1.1730222763211281E-2</v>
      </c>
      <c r="H16" s="15" t="s">
        <v>30</v>
      </c>
    </row>
  </sheetData>
  <mergeCells count="2">
    <mergeCell ref="A8:G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37</v>
      </c>
    </row>
    <row r="4" spans="1:17" x14ac:dyDescent="0.2">
      <c r="A4" s="1" t="s">
        <v>38</v>
      </c>
      <c r="B4" s="1" t="s">
        <v>39</v>
      </c>
      <c r="C4" s="1" t="s">
        <v>40</v>
      </c>
      <c r="E4" s="1" t="s">
        <v>38</v>
      </c>
      <c r="F4" s="1" t="s">
        <v>39</v>
      </c>
      <c r="G4" s="1" t="s">
        <v>41</v>
      </c>
      <c r="I4" s="1" t="s">
        <v>38</v>
      </c>
      <c r="J4" s="1" t="s">
        <v>39</v>
      </c>
      <c r="K4" s="1" t="s">
        <v>42</v>
      </c>
    </row>
    <row r="5" spans="1:17" x14ac:dyDescent="0.2">
      <c r="A5" s="3" t="s">
        <v>11</v>
      </c>
      <c r="B5" s="4">
        <v>0.150607802014605</v>
      </c>
      <c r="C5" s="6">
        <v>12</v>
      </c>
      <c r="E5" s="3" t="s">
        <v>11</v>
      </c>
      <c r="F5" s="4">
        <v>0.14887067707382079</v>
      </c>
      <c r="G5" s="6">
        <v>1</v>
      </c>
      <c r="I5" s="3" t="s">
        <v>11</v>
      </c>
      <c r="J5" s="4">
        <v>0.43853601678535109</v>
      </c>
      <c r="K5" s="6">
        <v>1</v>
      </c>
    </row>
    <row r="6" spans="1:17" x14ac:dyDescent="0.2">
      <c r="A6" s="3" t="s">
        <v>12</v>
      </c>
      <c r="B6" s="4">
        <v>0.74096596734265496</v>
      </c>
      <c r="C6" s="6">
        <v>15</v>
      </c>
      <c r="E6" s="3" t="s">
        <v>12</v>
      </c>
      <c r="F6" s="4">
        <v>0.74270309228343923</v>
      </c>
      <c r="G6" s="6">
        <v>2</v>
      </c>
      <c r="I6" s="3" t="s">
        <v>12</v>
      </c>
      <c r="J6" s="4">
        <v>0.45303775257190892</v>
      </c>
      <c r="K6" s="6">
        <v>2</v>
      </c>
    </row>
    <row r="25" spans="1:8" ht="28" x14ac:dyDescent="0.2">
      <c r="A25" s="1" t="s">
        <v>43</v>
      </c>
    </row>
    <row r="27" spans="1:8" x14ac:dyDescent="0.2">
      <c r="A27" s="10" t="s">
        <v>44</v>
      </c>
      <c r="B27" s="11"/>
      <c r="C27" s="12"/>
      <c r="E27" s="10" t="s">
        <v>45</v>
      </c>
      <c r="F27" s="11"/>
      <c r="G27" s="12"/>
    </row>
    <row r="28" spans="1:8" x14ac:dyDescent="0.2">
      <c r="A28" s="1" t="s">
        <v>40</v>
      </c>
      <c r="B28" s="1" t="s">
        <v>46</v>
      </c>
      <c r="C28" s="1" t="s">
        <v>47</v>
      </c>
      <c r="D28" s="1" t="s">
        <v>48</v>
      </c>
      <c r="E28" s="1" t="s">
        <v>40</v>
      </c>
      <c r="F28" s="1" t="s">
        <v>46</v>
      </c>
      <c r="G28" s="1" t="s">
        <v>47</v>
      </c>
      <c r="H28" s="1" t="s">
        <v>48</v>
      </c>
    </row>
    <row r="29" spans="1:8" x14ac:dyDescent="0.2">
      <c r="A29" s="3">
        <v>12</v>
      </c>
      <c r="B29" s="4">
        <v>-0.13645264264075371</v>
      </c>
      <c r="C29" s="4">
        <v>0.43970104795631071</v>
      </c>
      <c r="E29" s="3">
        <v>12</v>
      </c>
      <c r="F29" s="4">
        <v>-0.13987097057741271</v>
      </c>
      <c r="G29" s="4">
        <v>0.43905377332027579</v>
      </c>
    </row>
    <row r="30" spans="1:8" x14ac:dyDescent="0.2">
      <c r="A30" s="3">
        <v>15</v>
      </c>
      <c r="B30" s="4">
        <v>0.40653796788078389</v>
      </c>
      <c r="C30" s="4">
        <v>1.0443576939450641</v>
      </c>
      <c r="E30" s="3">
        <v>15</v>
      </c>
      <c r="F30" s="4">
        <v>0.465268353632666</v>
      </c>
      <c r="G30" s="4">
        <v>1.0476998539121061</v>
      </c>
    </row>
    <row r="52" spans="1:8" x14ac:dyDescent="0.2">
      <c r="A52" s="10" t="s">
        <v>49</v>
      </c>
      <c r="B52" s="11"/>
      <c r="C52" s="12"/>
      <c r="E52" s="10" t="s">
        <v>50</v>
      </c>
      <c r="F52" s="11"/>
      <c r="G52" s="12"/>
    </row>
    <row r="53" spans="1:8" x14ac:dyDescent="0.2">
      <c r="A53" s="1" t="s">
        <v>40</v>
      </c>
      <c r="B53" s="1" t="s">
        <v>51</v>
      </c>
      <c r="C53" s="1" t="s">
        <v>52</v>
      </c>
      <c r="D53" s="1" t="s">
        <v>53</v>
      </c>
      <c r="E53" s="1" t="s">
        <v>40</v>
      </c>
      <c r="F53" s="1" t="s">
        <v>51</v>
      </c>
      <c r="G53" s="1" t="s">
        <v>52</v>
      </c>
      <c r="H53" s="1" t="s">
        <v>53</v>
      </c>
    </row>
    <row r="54" spans="1:8" x14ac:dyDescent="0.2">
      <c r="A54" s="3">
        <v>12</v>
      </c>
      <c r="B54" s="4">
        <v>-0.13645264264075371</v>
      </c>
      <c r="C54" s="4">
        <v>-0.13987097057741271</v>
      </c>
      <c r="E54" s="3">
        <v>12</v>
      </c>
      <c r="F54" s="4">
        <v>0.43970104795631071</v>
      </c>
      <c r="G54" s="4">
        <v>0.43905377332027579</v>
      </c>
    </row>
    <row r="55" spans="1:8" x14ac:dyDescent="0.2">
      <c r="A55" s="3">
        <v>15</v>
      </c>
      <c r="B55" s="4">
        <v>0.40653796788078389</v>
      </c>
      <c r="C55" s="4">
        <v>0.465268353632666</v>
      </c>
      <c r="E55" s="3">
        <v>15</v>
      </c>
      <c r="F55" s="4">
        <v>1.0443576939450641</v>
      </c>
      <c r="G55" s="4">
        <v>1.0476998539121061</v>
      </c>
    </row>
    <row r="77" spans="1:8" x14ac:dyDescent="0.2">
      <c r="A77" s="10" t="s">
        <v>54</v>
      </c>
      <c r="B77" s="11"/>
      <c r="C77" s="12"/>
      <c r="E77" s="10" t="s">
        <v>55</v>
      </c>
      <c r="F77" s="11"/>
      <c r="G77" s="12"/>
    </row>
    <row r="78" spans="1:8" ht="28" x14ac:dyDescent="0.2">
      <c r="A78" s="1" t="s">
        <v>41</v>
      </c>
      <c r="B78" s="1" t="s">
        <v>51</v>
      </c>
      <c r="C78" s="1" t="s">
        <v>52</v>
      </c>
      <c r="D78" s="1" t="s">
        <v>56</v>
      </c>
      <c r="E78" s="1" t="s">
        <v>41</v>
      </c>
      <c r="F78" s="1" t="s">
        <v>51</v>
      </c>
      <c r="G78" s="1" t="s">
        <v>52</v>
      </c>
      <c r="H78" s="1" t="s">
        <v>56</v>
      </c>
    </row>
    <row r="79" spans="1:8" x14ac:dyDescent="0.2">
      <c r="A79" s="3">
        <v>1</v>
      </c>
      <c r="B79" s="4">
        <v>-0.13645264264075371</v>
      </c>
      <c r="C79" s="4">
        <v>-0.13987097057741271</v>
      </c>
      <c r="E79" s="3">
        <v>1</v>
      </c>
      <c r="F79" s="4">
        <v>0.40653796788078389</v>
      </c>
      <c r="G79" s="4">
        <v>0.465268353632666</v>
      </c>
    </row>
    <row r="80" spans="1:8" x14ac:dyDescent="0.2">
      <c r="A80" s="3">
        <v>2</v>
      </c>
      <c r="B80" s="4">
        <v>0.43970104795631071</v>
      </c>
      <c r="C80" s="4">
        <v>0.43905377332027579</v>
      </c>
      <c r="E80" s="3">
        <v>2</v>
      </c>
      <c r="F80" s="4">
        <v>1.0443576939450641</v>
      </c>
      <c r="G80" s="4">
        <v>1.0476998539121061</v>
      </c>
    </row>
    <row r="110" spans="1:1" ht="28" x14ac:dyDescent="0.2">
      <c r="A110" s="1" t="s">
        <v>57</v>
      </c>
    </row>
    <row r="111" spans="1:1" ht="208" x14ac:dyDescent="0.2">
      <c r="A111" s="7" t="s">
        <v>58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2026-05-06T16:24:07Z</dcterms:created>
  <dcterms:modified xsi:type="dcterms:W3CDTF">2026-05-06T16:40:18Z</dcterms:modified>
</cp:coreProperties>
</file>