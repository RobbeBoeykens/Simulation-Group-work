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"/>
    </mc:Choice>
  </mc:AlternateContent>
  <xr:revisionPtr revIDLastSave="0" documentId="8_{9A48F05D-6383-BF4F-83D4-501325C991CD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policy_0" sheetId="1" r:id="rId1"/>
    <sheet name="policy_1" sheetId="2" r:id="rId2"/>
    <sheet name="policy_2" sheetId="3" r:id="rId3"/>
    <sheet name="policy_3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" i="4" l="1"/>
  <c r="M5" i="4"/>
  <c r="M4" i="4"/>
  <c r="M3" i="4"/>
  <c r="M2" i="4"/>
  <c r="M1" i="4"/>
  <c r="M3" i="3"/>
  <c r="M2" i="3"/>
  <c r="M4" i="3"/>
  <c r="M5" i="3"/>
  <c r="M1" i="3"/>
  <c r="M5" i="2"/>
  <c r="M3" i="2"/>
  <c r="M2" i="2"/>
  <c r="M4" i="2"/>
  <c r="M1" i="2"/>
  <c r="M5" i="1"/>
  <c r="M4" i="1"/>
  <c r="M3" i="1"/>
  <c r="M2" i="1"/>
  <c r="M1" i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J2" i="4"/>
  <c r="I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I9" i="2"/>
  <c r="I3" i="2"/>
  <c r="I4" i="2"/>
  <c r="I5" i="2"/>
  <c r="I6" i="2"/>
  <c r="I7" i="2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2" i="2"/>
  <c r="J2" i="2"/>
  <c r="J6" i="1"/>
  <c r="J3" i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J2" i="1"/>
  <c r="I2" i="1"/>
  <c r="H1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3" i="4"/>
  <c r="H1" i="3"/>
  <c r="H1" i="2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3" i="3"/>
  <c r="H1" i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3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3" i="1"/>
</calcChain>
</file>

<file path=xl/sharedStrings.xml><?xml version="1.0" encoding="utf-8"?>
<sst xmlns="http://schemas.openxmlformats.org/spreadsheetml/2006/main" count="61" uniqueCount="16">
  <si>
    <t>Run</t>
  </si>
  <si>
    <t>Avg monthly cost</t>
  </si>
  <si>
    <t>Running avg</t>
  </si>
  <si>
    <t>Final estimate</t>
  </si>
  <si>
    <t>n</t>
  </si>
  <si>
    <t>st dev</t>
  </si>
  <si>
    <t>CI-</t>
  </si>
  <si>
    <t>CI+</t>
  </si>
  <si>
    <t>Average</t>
  </si>
  <si>
    <t>StDev</t>
  </si>
  <si>
    <t>Margin of error</t>
  </si>
  <si>
    <t>Running avg (skip warmup)</t>
  </si>
  <si>
    <t>Avg monthly cost (skip warmup)</t>
  </si>
  <si>
    <t>Z value</t>
  </si>
  <si>
    <t>T value</t>
  </si>
  <si>
    <t>&lt;30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</si>
</sst>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Policy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running 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policy_0!$E$2:$E$31</c:f>
              <c:numCache>
                <c:formatCode>General</c:formatCode>
                <c:ptCount val="30"/>
                <c:pt idx="0">
                  <c:v>507.9</c:v>
                </c:pt>
                <c:pt idx="1">
                  <c:v>506.85</c:v>
                </c:pt>
                <c:pt idx="2">
                  <c:v>504.8</c:v>
                </c:pt>
                <c:pt idx="3">
                  <c:v>503.66250000000002</c:v>
                </c:pt>
                <c:pt idx="4">
                  <c:v>504</c:v>
                </c:pt>
                <c:pt idx="5">
                  <c:v>504.17500000000001</c:v>
                </c:pt>
                <c:pt idx="6">
                  <c:v>504.23571428571432</c:v>
                </c:pt>
                <c:pt idx="7">
                  <c:v>503.625</c:v>
                </c:pt>
                <c:pt idx="8">
                  <c:v>503.5</c:v>
                </c:pt>
                <c:pt idx="9">
                  <c:v>504.24</c:v>
                </c:pt>
                <c:pt idx="10">
                  <c:v>504.12272727272727</c:v>
                </c:pt>
                <c:pt idx="11">
                  <c:v>504.27499999999998</c:v>
                </c:pt>
                <c:pt idx="12">
                  <c:v>504.09230769230771</c:v>
                </c:pt>
                <c:pt idx="13">
                  <c:v>504.18214285714288</c:v>
                </c:pt>
                <c:pt idx="14">
                  <c:v>503.89</c:v>
                </c:pt>
                <c:pt idx="15">
                  <c:v>503.96249999999998</c:v>
                </c:pt>
                <c:pt idx="16">
                  <c:v>504.02647058823533</c:v>
                </c:pt>
                <c:pt idx="17">
                  <c:v>504.19166666666672</c:v>
                </c:pt>
                <c:pt idx="18">
                  <c:v>504.06315789473689</c:v>
                </c:pt>
                <c:pt idx="19">
                  <c:v>504.03750000000002</c:v>
                </c:pt>
                <c:pt idx="20">
                  <c:v>504</c:v>
                </c:pt>
                <c:pt idx="21">
                  <c:v>504.07499999999999</c:v>
                </c:pt>
                <c:pt idx="22">
                  <c:v>503.89565217391299</c:v>
                </c:pt>
                <c:pt idx="23">
                  <c:v>503.6875</c:v>
                </c:pt>
                <c:pt idx="24">
                  <c:v>503.68200000000002</c:v>
                </c:pt>
                <c:pt idx="25">
                  <c:v>503.80384615384622</c:v>
                </c:pt>
                <c:pt idx="26">
                  <c:v>503.8</c:v>
                </c:pt>
                <c:pt idx="27">
                  <c:v>503.76964285714291</c:v>
                </c:pt>
                <c:pt idx="28">
                  <c:v>503.75172413793098</c:v>
                </c:pt>
                <c:pt idx="29">
                  <c:v>503.70499999999998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4-CA4A-841F-A2197A1B06CA}"/>
            </c:ext>
          </c:extLst>
        </c:ser>
        <c:ser>
          <c:idx val="1"/>
          <c:order val="1"/>
          <c:tx>
            <c:v>CI-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policy_0!$I$2:$I$31</c:f>
              <c:numCache>
                <c:formatCode>General</c:formatCode>
                <c:ptCount val="30"/>
                <c:pt idx="0">
                  <c:v>507.9</c:v>
                </c:pt>
                <c:pt idx="1">
                  <c:v>504.79203781623301</c:v>
                </c:pt>
                <c:pt idx="2">
                  <c:v>500.61007556027891</c:v>
                </c:pt>
                <c:pt idx="3">
                  <c:v>499.95464064688269</c:v>
                </c:pt>
                <c:pt idx="4">
                  <c:v>501.05271332268228</c:v>
                </c:pt>
                <c:pt idx="5">
                  <c:v>501.74422978285071</c:v>
                </c:pt>
                <c:pt idx="6">
                  <c:v>502.17789496142359</c:v>
                </c:pt>
                <c:pt idx="7">
                  <c:v>501.47820666512848</c:v>
                </c:pt>
                <c:pt idx="8">
                  <c:v>501.59092062602582</c:v>
                </c:pt>
                <c:pt idx="9">
                  <c:v>501.99963170547363</c:v>
                </c:pt>
                <c:pt idx="10">
                  <c:v>502.08324441200597</c:v>
                </c:pt>
                <c:pt idx="11">
                  <c:v>502.38944602530353</c:v>
                </c:pt>
                <c:pt idx="12">
                  <c:v>502.32127499646947</c:v>
                </c:pt>
                <c:pt idx="13">
                  <c:v>502.5330585024314</c:v>
                </c:pt>
                <c:pt idx="14">
                  <c:v>502.25148216616356</c:v>
                </c:pt>
                <c:pt idx="15">
                  <c:v>502.42323401478131</c:v>
                </c:pt>
                <c:pt idx="16">
                  <c:v>502.57515598613674</c:v>
                </c:pt>
                <c:pt idx="17">
                  <c:v>502.78556865934587</c:v>
                </c:pt>
                <c:pt idx="18">
                  <c:v>502.709483493763</c:v>
                </c:pt>
                <c:pt idx="19">
                  <c:v>502.75230745267959</c:v>
                </c:pt>
                <c:pt idx="20">
                  <c:v>502.77533054273192</c:v>
                </c:pt>
                <c:pt idx="21">
                  <c:v>502.89810720886101</c:v>
                </c:pt>
                <c:pt idx="22">
                  <c:v>502.71743394850779</c:v>
                </c:pt>
                <c:pt idx="23">
                  <c:v>502.48793543363684</c:v>
                </c:pt>
                <c:pt idx="24">
                  <c:v>502.53136759080348</c:v>
                </c:pt>
                <c:pt idx="25">
                  <c:v>502.67285348593362</c:v>
                </c:pt>
                <c:pt idx="26">
                  <c:v>502.71167569031684</c:v>
                </c:pt>
                <c:pt idx="27">
                  <c:v>502.71922086309377</c:v>
                </c:pt>
                <c:pt idx="28">
                  <c:v>502.73756233048869</c:v>
                </c:pt>
                <c:pt idx="29">
                  <c:v>502.72095612118596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44-CA4A-841F-A2197A1B06CA}"/>
            </c:ext>
          </c:extLst>
        </c:ser>
        <c:ser>
          <c:idx val="2"/>
          <c:order val="2"/>
          <c:tx>
            <c:v>CI+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policy_0!$J$2:$J$31</c:f>
              <c:numCache>
                <c:formatCode>General</c:formatCode>
                <c:ptCount val="30"/>
                <c:pt idx="0">
                  <c:v>507.9</c:v>
                </c:pt>
                <c:pt idx="1">
                  <c:v>508.90796218376704</c:v>
                </c:pt>
                <c:pt idx="2">
                  <c:v>508.98992443972111</c:v>
                </c:pt>
                <c:pt idx="3">
                  <c:v>507.37035935311735</c:v>
                </c:pt>
                <c:pt idx="4">
                  <c:v>506.94728667731772</c:v>
                </c:pt>
                <c:pt idx="5">
                  <c:v>506.60577021714931</c:v>
                </c:pt>
                <c:pt idx="6">
                  <c:v>506.29353361000506</c:v>
                </c:pt>
                <c:pt idx="7">
                  <c:v>505.77179333487152</c:v>
                </c:pt>
                <c:pt idx="8">
                  <c:v>505.40907937397418</c:v>
                </c:pt>
                <c:pt idx="9">
                  <c:v>506.48036829452639</c:v>
                </c:pt>
                <c:pt idx="10">
                  <c:v>506.16221013344858</c:v>
                </c:pt>
                <c:pt idx="11">
                  <c:v>506.16055397469643</c:v>
                </c:pt>
                <c:pt idx="12">
                  <c:v>505.86334038814596</c:v>
                </c:pt>
                <c:pt idx="13">
                  <c:v>505.83122721185435</c:v>
                </c:pt>
                <c:pt idx="14">
                  <c:v>505.52851783383642</c:v>
                </c:pt>
                <c:pt idx="15">
                  <c:v>505.50176598521864</c:v>
                </c:pt>
                <c:pt idx="16">
                  <c:v>505.47778519033392</c:v>
                </c:pt>
                <c:pt idx="17">
                  <c:v>505.59776467398757</c:v>
                </c:pt>
                <c:pt idx="18">
                  <c:v>505.41683229571078</c:v>
                </c:pt>
                <c:pt idx="19">
                  <c:v>505.32269254732046</c:v>
                </c:pt>
                <c:pt idx="20">
                  <c:v>505.22466945726808</c:v>
                </c:pt>
                <c:pt idx="21">
                  <c:v>505.25189279113897</c:v>
                </c:pt>
                <c:pt idx="22">
                  <c:v>505.0738703993182</c:v>
                </c:pt>
                <c:pt idx="23">
                  <c:v>504.88706456636316</c:v>
                </c:pt>
                <c:pt idx="24">
                  <c:v>504.83263240919655</c:v>
                </c:pt>
                <c:pt idx="25">
                  <c:v>504.93483882175883</c:v>
                </c:pt>
                <c:pt idx="26">
                  <c:v>504.88832430968318</c:v>
                </c:pt>
                <c:pt idx="27">
                  <c:v>504.82006485119206</c:v>
                </c:pt>
                <c:pt idx="28">
                  <c:v>504.76588594537327</c:v>
                </c:pt>
                <c:pt idx="29">
                  <c:v>504.689043878814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44-CA4A-841F-A2197A1B0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970287"/>
        <c:axId val="2117971935"/>
      </c:lineChart>
      <c:catAx>
        <c:axId val="211797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amount of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117971935"/>
        <c:crosses val="autoZero"/>
        <c:auto val="1"/>
        <c:lblAlgn val="ctr"/>
        <c:lblOffset val="100"/>
        <c:noMultiLvlLbl val="0"/>
      </c:catAx>
      <c:valAx>
        <c:axId val="211797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running average/CI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11797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Policy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running 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policy_1!$E$2:$E$70</c:f>
              <c:numCache>
                <c:formatCode>General</c:formatCode>
                <c:ptCount val="69"/>
                <c:pt idx="0">
                  <c:v>381.1</c:v>
                </c:pt>
                <c:pt idx="1">
                  <c:v>382.6</c:v>
                </c:pt>
                <c:pt idx="2">
                  <c:v>381.76666666666671</c:v>
                </c:pt>
                <c:pt idx="3">
                  <c:v>380.9</c:v>
                </c:pt>
                <c:pt idx="4">
                  <c:v>380.83</c:v>
                </c:pt>
                <c:pt idx="5">
                  <c:v>380.79166666666669</c:v>
                </c:pt>
                <c:pt idx="6">
                  <c:v>380.61428571428581</c:v>
                </c:pt>
                <c:pt idx="7">
                  <c:v>380.00625000000002</c:v>
                </c:pt>
                <c:pt idx="8">
                  <c:v>379.73333333333329</c:v>
                </c:pt>
                <c:pt idx="9">
                  <c:v>380.66</c:v>
                </c:pt>
                <c:pt idx="10">
                  <c:v>380.67727272727268</c:v>
                </c:pt>
                <c:pt idx="11">
                  <c:v>381.30833333333328</c:v>
                </c:pt>
                <c:pt idx="12">
                  <c:v>381.12307692307701</c:v>
                </c:pt>
                <c:pt idx="13">
                  <c:v>381.53571428571428</c:v>
                </c:pt>
                <c:pt idx="14">
                  <c:v>381.74</c:v>
                </c:pt>
                <c:pt idx="15">
                  <c:v>381.72812499999998</c:v>
                </c:pt>
                <c:pt idx="16">
                  <c:v>381.87058823529412</c:v>
                </c:pt>
                <c:pt idx="17">
                  <c:v>381.92222222222222</c:v>
                </c:pt>
                <c:pt idx="18">
                  <c:v>382.17894736842112</c:v>
                </c:pt>
                <c:pt idx="19">
                  <c:v>382.37</c:v>
                </c:pt>
                <c:pt idx="20">
                  <c:v>382.50714285714292</c:v>
                </c:pt>
                <c:pt idx="21">
                  <c:v>382.4113636363636</c:v>
                </c:pt>
                <c:pt idx="22">
                  <c:v>382.55434782608688</c:v>
                </c:pt>
                <c:pt idx="23">
                  <c:v>382.49166666666662</c:v>
                </c:pt>
                <c:pt idx="24">
                  <c:v>382.404</c:v>
                </c:pt>
                <c:pt idx="25">
                  <c:v>382.61538461538458</c:v>
                </c:pt>
                <c:pt idx="26">
                  <c:v>382.69259259259258</c:v>
                </c:pt>
                <c:pt idx="27">
                  <c:v>382.55357142857139</c:v>
                </c:pt>
                <c:pt idx="28">
                  <c:v>382.84137931034479</c:v>
                </c:pt>
                <c:pt idx="29">
                  <c:v>382.67500000000001</c:v>
                </c:pt>
                <c:pt idx="30">
                  <c:v>382.53064516129041</c:v>
                </c:pt>
                <c:pt idx="31">
                  <c:v>382.64375000000001</c:v>
                </c:pt>
                <c:pt idx="32">
                  <c:v>382.62272727272727</c:v>
                </c:pt>
                <c:pt idx="33">
                  <c:v>382.79411764705878</c:v>
                </c:pt>
                <c:pt idx="34">
                  <c:v>382.86</c:v>
                </c:pt>
                <c:pt idx="35">
                  <c:v>382.78888888888889</c:v>
                </c:pt>
                <c:pt idx="36">
                  <c:v>382.89324324324321</c:v>
                </c:pt>
                <c:pt idx="37">
                  <c:v>382.73421052631579</c:v>
                </c:pt>
                <c:pt idx="38">
                  <c:v>382.65897435897438</c:v>
                </c:pt>
                <c:pt idx="39">
                  <c:v>382.59750000000003</c:v>
                </c:pt>
                <c:pt idx="40">
                  <c:v>382.46097560975608</c:v>
                </c:pt>
                <c:pt idx="41">
                  <c:v>382.30119047619053</c:v>
                </c:pt>
                <c:pt idx="42">
                  <c:v>382.16976744186047</c:v>
                </c:pt>
                <c:pt idx="43">
                  <c:v>382.16363636363639</c:v>
                </c:pt>
                <c:pt idx="44">
                  <c:v>382.08222222222219</c:v>
                </c:pt>
                <c:pt idx="45">
                  <c:v>382.17391304347831</c:v>
                </c:pt>
                <c:pt idx="46">
                  <c:v>382.16702127659568</c:v>
                </c:pt>
                <c:pt idx="47">
                  <c:v>382.11979166666669</c:v>
                </c:pt>
                <c:pt idx="48">
                  <c:v>381.97755102040821</c:v>
                </c:pt>
                <c:pt idx="49">
                  <c:v>381.89400000000001</c:v>
                </c:pt>
                <c:pt idx="50">
                  <c:v>381.88333333333333</c:v>
                </c:pt>
                <c:pt idx="51">
                  <c:v>381.93846153846152</c:v>
                </c:pt>
                <c:pt idx="52">
                  <c:v>381.91320754716992</c:v>
                </c:pt>
                <c:pt idx="53">
                  <c:v>382.00185185185182</c:v>
                </c:pt>
                <c:pt idx="54">
                  <c:v>382.07909090909089</c:v>
                </c:pt>
                <c:pt idx="55">
                  <c:v>382.17232142857148</c:v>
                </c:pt>
                <c:pt idx="56">
                  <c:v>382.15087719298242</c:v>
                </c:pt>
                <c:pt idx="57">
                  <c:v>382.18620689655171</c:v>
                </c:pt>
                <c:pt idx="58">
                  <c:v>382.2279661016949</c:v>
                </c:pt>
                <c:pt idx="59">
                  <c:v>382.24666666666673</c:v>
                </c:pt>
                <c:pt idx="60">
                  <c:v>382.26557377049181</c:v>
                </c:pt>
                <c:pt idx="61">
                  <c:v>382.35645161290319</c:v>
                </c:pt>
                <c:pt idx="62">
                  <c:v>382.52222222222218</c:v>
                </c:pt>
                <c:pt idx="63">
                  <c:v>382.55234374999998</c:v>
                </c:pt>
                <c:pt idx="64">
                  <c:v>382.62846153846152</c:v>
                </c:pt>
                <c:pt idx="65">
                  <c:v>382.62575757575758</c:v>
                </c:pt>
                <c:pt idx="66">
                  <c:v>382.56194029850752</c:v>
                </c:pt>
                <c:pt idx="67">
                  <c:v>382.56102941176471</c:v>
                </c:pt>
                <c:pt idx="68">
                  <c:v>382.65869565217389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3-1141-B3DD-E94ABAF479CB}"/>
            </c:ext>
          </c:extLst>
        </c:ser>
        <c:ser>
          <c:idx val="1"/>
          <c:order val="1"/>
          <c:tx>
            <c:v>CI-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policy_1!$I$2:$I$70</c:f>
              <c:numCache>
                <c:formatCode>General</c:formatCode>
                <c:ptCount val="69"/>
                <c:pt idx="0">
                  <c:v>381.1</c:v>
                </c:pt>
                <c:pt idx="1">
                  <c:v>379.66005402318996</c:v>
                </c:pt>
                <c:pt idx="2">
                  <c:v>379.41108311855942</c:v>
                </c:pt>
                <c:pt idx="3">
                  <c:v>378.52097723231657</c:v>
                </c:pt>
                <c:pt idx="4">
                  <c:v>378.98211668503797</c:v>
                </c:pt>
                <c:pt idx="5">
                  <c:v>379.28100677527289</c:v>
                </c:pt>
                <c:pt idx="6">
                  <c:v>379.29105696715436</c:v>
                </c:pt>
                <c:pt idx="7">
                  <c:v>378.35294524727351</c:v>
                </c:pt>
                <c:pt idx="8">
                  <c:v>378.18023448978613</c:v>
                </c:pt>
                <c:pt idx="9">
                  <c:v>378.37343135102668</c:v>
                </c:pt>
                <c:pt idx="10">
                  <c:v>378.60871651915392</c:v>
                </c:pt>
                <c:pt idx="11">
                  <c:v>379.05099340143676</c:v>
                </c:pt>
                <c:pt idx="12">
                  <c:v>379.01511908161808</c:v>
                </c:pt>
                <c:pt idx="13">
                  <c:v>379.42318354278052</c:v>
                </c:pt>
                <c:pt idx="14">
                  <c:v>379.73299669754266</c:v>
                </c:pt>
                <c:pt idx="15">
                  <c:v>379.85060105081004</c:v>
                </c:pt>
                <c:pt idx="16">
                  <c:v>380.08499467573171</c:v>
                </c:pt>
                <c:pt idx="17">
                  <c:v>380.23570940926311</c:v>
                </c:pt>
                <c:pt idx="18">
                  <c:v>380.50619368370826</c:v>
                </c:pt>
                <c:pt idx="19">
                  <c:v>380.73950562583985</c:v>
                </c:pt>
                <c:pt idx="20">
                  <c:v>380.9331126544709</c:v>
                </c:pt>
                <c:pt idx="21">
                  <c:v>380.89888964377042</c:v>
                </c:pt>
                <c:pt idx="22">
                  <c:v>381.0822084267208</c:v>
                </c:pt>
                <c:pt idx="23">
                  <c:v>381.07685654122616</c:v>
                </c:pt>
                <c:pt idx="24">
                  <c:v>381.03612720104644</c:v>
                </c:pt>
                <c:pt idx="25">
                  <c:v>381.2374162825742</c:v>
                </c:pt>
                <c:pt idx="26">
                  <c:v>381.35803486491204</c:v>
                </c:pt>
                <c:pt idx="27">
                  <c:v>381.23901054916354</c:v>
                </c:pt>
                <c:pt idx="28">
                  <c:v>381.45318117995862</c:v>
                </c:pt>
                <c:pt idx="29">
                  <c:v>381.29479687602327</c:v>
                </c:pt>
                <c:pt idx="30">
                  <c:v>381.16605382262327</c:v>
                </c:pt>
                <c:pt idx="31">
                  <c:v>381.30402229476977</c:v>
                </c:pt>
                <c:pt idx="32">
                  <c:v>381.32357829871137</c:v>
                </c:pt>
                <c:pt idx="33">
                  <c:v>381.4897603514363</c:v>
                </c:pt>
                <c:pt idx="34">
                  <c:v>381.58689283101648</c:v>
                </c:pt>
                <c:pt idx="35">
                  <c:v>381.54382553035765</c:v>
                </c:pt>
                <c:pt idx="36">
                  <c:v>381.66514636510715</c:v>
                </c:pt>
                <c:pt idx="37">
                  <c:v>381.49889771941127</c:v>
                </c:pt>
                <c:pt idx="38">
                  <c:v>381.44675080648858</c:v>
                </c:pt>
                <c:pt idx="39">
                  <c:v>381.40984310976563</c:v>
                </c:pt>
                <c:pt idx="40">
                  <c:v>381.27214290346473</c:v>
                </c:pt>
                <c:pt idx="41">
                  <c:v>381.09948356783116</c:v>
                </c:pt>
                <c:pt idx="42">
                  <c:v>380.96840080105477</c:v>
                </c:pt>
                <c:pt idx="43">
                  <c:v>380.98982952769558</c:v>
                </c:pt>
                <c:pt idx="44">
                  <c:v>380.9237542122097</c:v>
                </c:pt>
                <c:pt idx="45">
                  <c:v>381.02674516131719</c:v>
                </c:pt>
                <c:pt idx="46">
                  <c:v>381.04444528608821</c:v>
                </c:pt>
                <c:pt idx="47">
                  <c:v>381.01695968396331</c:v>
                </c:pt>
                <c:pt idx="48">
                  <c:v>380.86206102218409</c:v>
                </c:pt>
                <c:pt idx="49">
                  <c:v>380.78884771603555</c:v>
                </c:pt>
                <c:pt idx="50">
                  <c:v>380.79986570058486</c:v>
                </c:pt>
                <c:pt idx="51">
                  <c:v>380.87055392049768</c:v>
                </c:pt>
                <c:pt idx="52">
                  <c:v>380.86447418932079</c:v>
                </c:pt>
                <c:pt idx="53">
                  <c:v>380.95816020973143</c:v>
                </c:pt>
                <c:pt idx="54">
                  <c:v>381.04342722417209</c:v>
                </c:pt>
                <c:pt idx="55">
                  <c:v>381.13903451691942</c:v>
                </c:pt>
                <c:pt idx="56">
                  <c:v>381.13501015640981</c:v>
                </c:pt>
                <c:pt idx="57">
                  <c:v>381.18560958487279</c:v>
                </c:pt>
                <c:pt idx="58">
                  <c:v>381.24107450529101</c:v>
                </c:pt>
                <c:pt idx="59">
                  <c:v>381.27567065404691</c:v>
                </c:pt>
                <c:pt idx="60">
                  <c:v>381.30990964018179</c:v>
                </c:pt>
                <c:pt idx="61">
                  <c:v>381.3996033452371</c:v>
                </c:pt>
                <c:pt idx="62">
                  <c:v>381.5262020721093</c:v>
                </c:pt>
                <c:pt idx="63">
                  <c:v>381.57023389596935</c:v>
                </c:pt>
                <c:pt idx="64">
                  <c:v>381.65013709580984</c:v>
                </c:pt>
                <c:pt idx="65">
                  <c:v>381.66235568445791</c:v>
                </c:pt>
                <c:pt idx="66">
                  <c:v>381.6048183969441</c:v>
                </c:pt>
                <c:pt idx="67">
                  <c:v>381.61808618776075</c:v>
                </c:pt>
                <c:pt idx="68">
                  <c:v>381.71000592617924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3-1141-B3DD-E94ABAF479CB}"/>
            </c:ext>
          </c:extLst>
        </c:ser>
        <c:ser>
          <c:idx val="2"/>
          <c:order val="2"/>
          <c:tx>
            <c:v>CI+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policy_1!$J$2:$J$70</c:f>
              <c:numCache>
                <c:formatCode>General</c:formatCode>
                <c:ptCount val="69"/>
                <c:pt idx="0">
                  <c:v>381.1</c:v>
                </c:pt>
                <c:pt idx="1">
                  <c:v>385.53994597681009</c:v>
                </c:pt>
                <c:pt idx="2">
                  <c:v>384.122250214774</c:v>
                </c:pt>
                <c:pt idx="3">
                  <c:v>383.27902276768339</c:v>
                </c:pt>
                <c:pt idx="4">
                  <c:v>382.677883314962</c:v>
                </c:pt>
                <c:pt idx="5">
                  <c:v>382.30232655806049</c:v>
                </c:pt>
                <c:pt idx="6">
                  <c:v>381.93751446141727</c:v>
                </c:pt>
                <c:pt idx="7">
                  <c:v>381.65955475272654</c:v>
                </c:pt>
                <c:pt idx="8">
                  <c:v>381.28643217688045</c:v>
                </c:pt>
                <c:pt idx="9">
                  <c:v>382.94656864897337</c:v>
                </c:pt>
                <c:pt idx="10">
                  <c:v>382.74582893539144</c:v>
                </c:pt>
                <c:pt idx="11">
                  <c:v>383.5656732652298</c:v>
                </c:pt>
                <c:pt idx="12">
                  <c:v>383.23103476453593</c:v>
                </c:pt>
                <c:pt idx="13">
                  <c:v>383.64824502864803</c:v>
                </c:pt>
                <c:pt idx="14">
                  <c:v>383.74700330245736</c:v>
                </c:pt>
                <c:pt idx="15">
                  <c:v>383.60564894918991</c:v>
                </c:pt>
                <c:pt idx="16">
                  <c:v>383.65618179485654</c:v>
                </c:pt>
                <c:pt idx="17">
                  <c:v>383.60873503518133</c:v>
                </c:pt>
                <c:pt idx="18">
                  <c:v>383.85170105313398</c:v>
                </c:pt>
                <c:pt idx="19">
                  <c:v>384.00049437416016</c:v>
                </c:pt>
                <c:pt idx="20">
                  <c:v>384.08117305981494</c:v>
                </c:pt>
                <c:pt idx="21">
                  <c:v>383.92383762895679</c:v>
                </c:pt>
                <c:pt idx="22">
                  <c:v>384.02648722545297</c:v>
                </c:pt>
                <c:pt idx="23">
                  <c:v>383.90647679210707</c:v>
                </c:pt>
                <c:pt idx="24">
                  <c:v>383.77187279895355</c:v>
                </c:pt>
                <c:pt idx="25">
                  <c:v>383.99335294819497</c:v>
                </c:pt>
                <c:pt idx="26">
                  <c:v>384.02715032027311</c:v>
                </c:pt>
                <c:pt idx="27">
                  <c:v>383.86813230797924</c:v>
                </c:pt>
                <c:pt idx="28">
                  <c:v>384.22957744073096</c:v>
                </c:pt>
                <c:pt idx="29">
                  <c:v>384.05520312397675</c:v>
                </c:pt>
                <c:pt idx="30">
                  <c:v>383.89523649995755</c:v>
                </c:pt>
                <c:pt idx="31">
                  <c:v>383.98347770523026</c:v>
                </c:pt>
                <c:pt idx="32">
                  <c:v>383.92187624674318</c:v>
                </c:pt>
                <c:pt idx="33">
                  <c:v>384.09847494268126</c:v>
                </c:pt>
                <c:pt idx="34">
                  <c:v>384.13310716898354</c:v>
                </c:pt>
                <c:pt idx="35">
                  <c:v>384.03395224742013</c:v>
                </c:pt>
                <c:pt idx="36">
                  <c:v>384.12134012137926</c:v>
                </c:pt>
                <c:pt idx="37">
                  <c:v>383.96952333322031</c:v>
                </c:pt>
                <c:pt idx="38">
                  <c:v>383.87119791146017</c:v>
                </c:pt>
                <c:pt idx="39">
                  <c:v>383.78515689023442</c:v>
                </c:pt>
                <c:pt idx="40">
                  <c:v>383.64980831604743</c:v>
                </c:pt>
                <c:pt idx="41">
                  <c:v>383.5028973845499</c:v>
                </c:pt>
                <c:pt idx="42">
                  <c:v>383.37113408266617</c:v>
                </c:pt>
                <c:pt idx="43">
                  <c:v>383.33744319957719</c:v>
                </c:pt>
                <c:pt idx="44">
                  <c:v>383.24069023223467</c:v>
                </c:pt>
                <c:pt idx="45">
                  <c:v>383.32108092563942</c:v>
                </c:pt>
                <c:pt idx="46">
                  <c:v>383.28959726710315</c:v>
                </c:pt>
                <c:pt idx="47">
                  <c:v>383.22262364937006</c:v>
                </c:pt>
                <c:pt idx="48">
                  <c:v>383.09304101863233</c:v>
                </c:pt>
                <c:pt idx="49">
                  <c:v>382.99915228396446</c:v>
                </c:pt>
                <c:pt idx="50">
                  <c:v>382.96680096608179</c:v>
                </c:pt>
                <c:pt idx="51">
                  <c:v>383.00636915642536</c:v>
                </c:pt>
                <c:pt idx="52">
                  <c:v>382.96194090501905</c:v>
                </c:pt>
                <c:pt idx="53">
                  <c:v>383.04554349397222</c:v>
                </c:pt>
                <c:pt idx="54">
                  <c:v>383.1147545940097</c:v>
                </c:pt>
                <c:pt idx="55">
                  <c:v>383.20560834022353</c:v>
                </c:pt>
                <c:pt idx="56">
                  <c:v>383.16674422955504</c:v>
                </c:pt>
                <c:pt idx="57">
                  <c:v>383.18680420823063</c:v>
                </c:pt>
                <c:pt idx="58">
                  <c:v>383.2148576980988</c:v>
                </c:pt>
                <c:pt idx="59">
                  <c:v>383.21766267928655</c:v>
                </c:pt>
                <c:pt idx="60">
                  <c:v>383.22123790080184</c:v>
                </c:pt>
                <c:pt idx="61">
                  <c:v>383.31329988056928</c:v>
                </c:pt>
                <c:pt idx="62">
                  <c:v>383.51824237233507</c:v>
                </c:pt>
                <c:pt idx="63">
                  <c:v>383.5344536040306</c:v>
                </c:pt>
                <c:pt idx="64">
                  <c:v>383.60678598111321</c:v>
                </c:pt>
                <c:pt idx="65">
                  <c:v>383.58915946705724</c:v>
                </c:pt>
                <c:pt idx="66">
                  <c:v>383.51906220007095</c:v>
                </c:pt>
                <c:pt idx="67">
                  <c:v>383.50397263576866</c:v>
                </c:pt>
                <c:pt idx="68">
                  <c:v>383.60738537816854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3-1141-B3DD-E94ABAF47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79856"/>
        <c:axId val="20687536"/>
      </c:lineChart>
      <c:catAx>
        <c:axId val="3676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amount of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687536"/>
        <c:crosses val="autoZero"/>
        <c:auto val="1"/>
        <c:lblAlgn val="ctr"/>
        <c:lblOffset val="100"/>
        <c:noMultiLvlLbl val="0"/>
      </c:catAx>
      <c:valAx>
        <c:axId val="2068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running average/CI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6767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Policy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running 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policy_2!$E$2:$E$57</c:f>
              <c:numCache>
                <c:formatCode>General</c:formatCode>
                <c:ptCount val="56"/>
                <c:pt idx="0">
                  <c:v>300.39999999999998</c:v>
                </c:pt>
                <c:pt idx="1">
                  <c:v>299.02499999999998</c:v>
                </c:pt>
                <c:pt idx="2">
                  <c:v>299.31666666666672</c:v>
                </c:pt>
                <c:pt idx="3">
                  <c:v>298.3</c:v>
                </c:pt>
                <c:pt idx="4">
                  <c:v>298.14</c:v>
                </c:pt>
                <c:pt idx="5">
                  <c:v>297.875</c:v>
                </c:pt>
                <c:pt idx="6">
                  <c:v>298.3</c:v>
                </c:pt>
                <c:pt idx="7">
                  <c:v>298.63125000000002</c:v>
                </c:pt>
                <c:pt idx="8">
                  <c:v>298.51111111111112</c:v>
                </c:pt>
                <c:pt idx="9">
                  <c:v>298.315</c:v>
                </c:pt>
                <c:pt idx="10">
                  <c:v>297.72272727272718</c:v>
                </c:pt>
                <c:pt idx="11">
                  <c:v>298.30833333333328</c:v>
                </c:pt>
                <c:pt idx="12">
                  <c:v>298.37692307692311</c:v>
                </c:pt>
                <c:pt idx="13">
                  <c:v>299.08214285714291</c:v>
                </c:pt>
                <c:pt idx="14">
                  <c:v>299.16666666666669</c:v>
                </c:pt>
                <c:pt idx="15">
                  <c:v>299.15312499999999</c:v>
                </c:pt>
                <c:pt idx="16">
                  <c:v>299.21176470588239</c:v>
                </c:pt>
                <c:pt idx="17">
                  <c:v>299.26111111111112</c:v>
                </c:pt>
                <c:pt idx="18">
                  <c:v>299.2763157894737</c:v>
                </c:pt>
                <c:pt idx="19">
                  <c:v>299.38249999999999</c:v>
                </c:pt>
                <c:pt idx="20">
                  <c:v>299.26666666666671</c:v>
                </c:pt>
                <c:pt idx="21">
                  <c:v>299.42727272727268</c:v>
                </c:pt>
                <c:pt idx="22">
                  <c:v>299.51086956521738</c:v>
                </c:pt>
                <c:pt idx="23">
                  <c:v>299.48541666666671</c:v>
                </c:pt>
                <c:pt idx="24">
                  <c:v>299.42399999999998</c:v>
                </c:pt>
                <c:pt idx="25">
                  <c:v>299.41923076923081</c:v>
                </c:pt>
                <c:pt idx="26">
                  <c:v>299.58703703703708</c:v>
                </c:pt>
                <c:pt idx="27">
                  <c:v>299.64464285714291</c:v>
                </c:pt>
                <c:pt idx="28">
                  <c:v>299.72758620689649</c:v>
                </c:pt>
                <c:pt idx="29">
                  <c:v>299.80166666666662</c:v>
                </c:pt>
                <c:pt idx="30">
                  <c:v>299.94032258064522</c:v>
                </c:pt>
                <c:pt idx="31">
                  <c:v>300.04531250000002</c:v>
                </c:pt>
                <c:pt idx="32">
                  <c:v>300.18939393939388</c:v>
                </c:pt>
                <c:pt idx="33">
                  <c:v>300.15294117647062</c:v>
                </c:pt>
                <c:pt idx="34">
                  <c:v>299.99</c:v>
                </c:pt>
                <c:pt idx="35">
                  <c:v>299.82083333333333</c:v>
                </c:pt>
                <c:pt idx="36">
                  <c:v>299.73243243243252</c:v>
                </c:pt>
                <c:pt idx="37">
                  <c:v>299.74342105263162</c:v>
                </c:pt>
                <c:pt idx="38">
                  <c:v>299.78076923076918</c:v>
                </c:pt>
                <c:pt idx="39">
                  <c:v>299.67124999999999</c:v>
                </c:pt>
                <c:pt idx="40">
                  <c:v>299.45</c:v>
                </c:pt>
                <c:pt idx="41">
                  <c:v>299.41071428571428</c:v>
                </c:pt>
                <c:pt idx="42">
                  <c:v>299.4220930232558</c:v>
                </c:pt>
                <c:pt idx="43">
                  <c:v>299.45454545454538</c:v>
                </c:pt>
                <c:pt idx="44">
                  <c:v>299.50333333333327</c:v>
                </c:pt>
                <c:pt idx="45">
                  <c:v>299.58478260869572</c:v>
                </c:pt>
                <c:pt idx="46">
                  <c:v>299.57446808510639</c:v>
                </c:pt>
                <c:pt idx="47">
                  <c:v>299.56354166666671</c:v>
                </c:pt>
                <c:pt idx="48">
                  <c:v>299.48877551020411</c:v>
                </c:pt>
                <c:pt idx="49">
                  <c:v>299.464</c:v>
                </c:pt>
                <c:pt idx="50">
                  <c:v>299.4019607843137</c:v>
                </c:pt>
                <c:pt idx="51">
                  <c:v>299.40576923076918</c:v>
                </c:pt>
                <c:pt idx="52">
                  <c:v>299.34433962264148</c:v>
                </c:pt>
                <c:pt idx="53">
                  <c:v>299.27962962962971</c:v>
                </c:pt>
                <c:pt idx="54">
                  <c:v>299.21090909090913</c:v>
                </c:pt>
                <c:pt idx="55">
                  <c:v>299.06339285714279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6-9341-A943-1031A6476A70}"/>
            </c:ext>
          </c:extLst>
        </c:ser>
        <c:ser>
          <c:idx val="1"/>
          <c:order val="1"/>
          <c:tx>
            <c:v>CI-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policy_2!$I$2:$I$57</c:f>
              <c:numCache>
                <c:formatCode>General</c:formatCode>
                <c:ptCount val="56"/>
                <c:pt idx="0">
                  <c:v>300.39999999999998</c:v>
                </c:pt>
                <c:pt idx="1">
                  <c:v>296.33004952125742</c:v>
                </c:pt>
                <c:pt idx="2">
                  <c:v>297.65904483745146</c:v>
                </c:pt>
                <c:pt idx="3">
                  <c:v>295.98819776272046</c:v>
                </c:pt>
                <c:pt idx="4">
                  <c:v>296.32203435225409</c:v>
                </c:pt>
                <c:pt idx="5">
                  <c:v>296.30239096511372</c:v>
                </c:pt>
                <c:pt idx="6">
                  <c:v>296.7314455982181</c:v>
                </c:pt>
                <c:pt idx="7">
                  <c:v>297.12566630757635</c:v>
                </c:pt>
                <c:pt idx="8">
                  <c:v>297.1625941499039</c:v>
                </c:pt>
                <c:pt idx="9">
                  <c:v>297.04908561028594</c:v>
                </c:pt>
                <c:pt idx="10">
                  <c:v>296.09217453741422</c:v>
                </c:pt>
                <c:pt idx="11">
                  <c:v>296.4287180043433</c:v>
                </c:pt>
                <c:pt idx="12">
                  <c:v>296.64271006239073</c:v>
                </c:pt>
                <c:pt idx="13">
                  <c:v>296.96357155685956</c:v>
                </c:pt>
                <c:pt idx="14">
                  <c:v>297.18743881816437</c:v>
                </c:pt>
                <c:pt idx="15">
                  <c:v>297.30153664106825</c:v>
                </c:pt>
                <c:pt idx="16">
                  <c:v>297.46870705040214</c:v>
                </c:pt>
                <c:pt idx="17">
                  <c:v>297.61489700887552</c:v>
                </c:pt>
                <c:pt idx="18">
                  <c:v>297.71886800778367</c:v>
                </c:pt>
                <c:pt idx="19">
                  <c:v>297.89039007973213</c:v>
                </c:pt>
                <c:pt idx="20">
                  <c:v>297.82934383596012</c:v>
                </c:pt>
                <c:pt idx="21">
                  <c:v>298.02115186625088</c:v>
                </c:pt>
                <c:pt idx="22">
                  <c:v>298.15732115090412</c:v>
                </c:pt>
                <c:pt idx="23">
                  <c:v>298.18853287978851</c:v>
                </c:pt>
                <c:pt idx="24">
                  <c:v>298.17426204287358</c:v>
                </c:pt>
                <c:pt idx="25">
                  <c:v>298.21848499367763</c:v>
                </c:pt>
                <c:pt idx="26">
                  <c:v>298.38572003088495</c:v>
                </c:pt>
                <c:pt idx="27">
                  <c:v>298.48153188901028</c:v>
                </c:pt>
                <c:pt idx="28">
                  <c:v>298.59358603091556</c:v>
                </c:pt>
                <c:pt idx="29">
                  <c:v>298.69653881426422</c:v>
                </c:pt>
                <c:pt idx="30">
                  <c:v>298.83743212561274</c:v>
                </c:pt>
                <c:pt idx="31">
                  <c:v>298.95779774247615</c:v>
                </c:pt>
                <c:pt idx="32">
                  <c:v>299.09817586705464</c:v>
                </c:pt>
                <c:pt idx="33">
                  <c:v>299.09189598208809</c:v>
                </c:pt>
                <c:pt idx="34">
                  <c:v>298.91135521275294</c:v>
                </c:pt>
                <c:pt idx="35">
                  <c:v>298.72139278704742</c:v>
                </c:pt>
                <c:pt idx="36">
                  <c:v>298.64917320933108</c:v>
                </c:pt>
                <c:pt idx="37">
                  <c:v>298.6888340032383</c:v>
                </c:pt>
                <c:pt idx="38">
                  <c:v>298.75097375935144</c:v>
                </c:pt>
                <c:pt idx="39">
                  <c:v>298.64483341361705</c:v>
                </c:pt>
                <c:pt idx="40">
                  <c:v>298.35904415129323</c:v>
                </c:pt>
                <c:pt idx="41">
                  <c:v>298.34326968024118</c:v>
                </c:pt>
                <c:pt idx="42">
                  <c:v>298.37952971794323</c:v>
                </c:pt>
                <c:pt idx="43">
                  <c:v>298.43396834643198</c:v>
                </c:pt>
                <c:pt idx="44">
                  <c:v>298.50112130285771</c:v>
                </c:pt>
                <c:pt idx="45">
                  <c:v>298.59168527809288</c:v>
                </c:pt>
                <c:pt idx="46">
                  <c:v>298.60251991737925</c:v>
                </c:pt>
                <c:pt idx="47">
                  <c:v>298.6118168861579</c:v>
                </c:pt>
                <c:pt idx="48">
                  <c:v>298.54522735875173</c:v>
                </c:pt>
                <c:pt idx="49">
                  <c:v>298.53824097277675</c:v>
                </c:pt>
                <c:pt idx="50">
                  <c:v>298.48642486514274</c:v>
                </c:pt>
                <c:pt idx="51">
                  <c:v>298.50798136953637</c:v>
                </c:pt>
                <c:pt idx="52">
                  <c:v>298.45546213029507</c:v>
                </c:pt>
                <c:pt idx="53">
                  <c:v>298.39819569837664</c:v>
                </c:pt>
                <c:pt idx="54">
                  <c:v>298.33522920312424</c:v>
                </c:pt>
                <c:pt idx="55">
                  <c:v>298.15618662785846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6-9341-A943-1031A6476A70}"/>
            </c:ext>
          </c:extLst>
        </c:ser>
        <c:ser>
          <c:idx val="2"/>
          <c:order val="2"/>
          <c:tx>
            <c:v>CI+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policy_2!$J$2:$J$57</c:f>
              <c:numCache>
                <c:formatCode>General</c:formatCode>
                <c:ptCount val="56"/>
                <c:pt idx="0">
                  <c:v>300.39999999999998</c:v>
                </c:pt>
                <c:pt idx="1">
                  <c:v>301.71995047874253</c:v>
                </c:pt>
                <c:pt idx="2">
                  <c:v>300.97428849588198</c:v>
                </c:pt>
                <c:pt idx="3">
                  <c:v>300.61180223727956</c:v>
                </c:pt>
                <c:pt idx="4">
                  <c:v>299.95796564774588</c:v>
                </c:pt>
                <c:pt idx="5">
                  <c:v>299.44760903488628</c:v>
                </c:pt>
                <c:pt idx="6">
                  <c:v>299.86855440178192</c:v>
                </c:pt>
                <c:pt idx="7">
                  <c:v>300.13683369242369</c:v>
                </c:pt>
                <c:pt idx="8">
                  <c:v>299.85962807231834</c:v>
                </c:pt>
                <c:pt idx="9">
                  <c:v>299.58091438971405</c:v>
                </c:pt>
                <c:pt idx="10">
                  <c:v>299.35328000804014</c:v>
                </c:pt>
                <c:pt idx="11">
                  <c:v>300.18794866232327</c:v>
                </c:pt>
                <c:pt idx="12">
                  <c:v>300.11113609145548</c:v>
                </c:pt>
                <c:pt idx="13">
                  <c:v>301.20071415742626</c:v>
                </c:pt>
                <c:pt idx="14">
                  <c:v>301.145894515169</c:v>
                </c:pt>
                <c:pt idx="15">
                  <c:v>301.00471335893172</c:v>
                </c:pt>
                <c:pt idx="16">
                  <c:v>300.95482236136263</c:v>
                </c:pt>
                <c:pt idx="17">
                  <c:v>300.90732521334672</c:v>
                </c:pt>
                <c:pt idx="18">
                  <c:v>300.83376357116373</c:v>
                </c:pt>
                <c:pt idx="19">
                  <c:v>300.87460992026786</c:v>
                </c:pt>
                <c:pt idx="20">
                  <c:v>300.7039894973733</c:v>
                </c:pt>
                <c:pt idx="21">
                  <c:v>300.83339358829448</c:v>
                </c:pt>
                <c:pt idx="22">
                  <c:v>300.86441797953063</c:v>
                </c:pt>
                <c:pt idx="23">
                  <c:v>300.78230045354491</c:v>
                </c:pt>
                <c:pt idx="24">
                  <c:v>300.67373795712638</c:v>
                </c:pt>
                <c:pt idx="25">
                  <c:v>300.61997654478398</c:v>
                </c:pt>
                <c:pt idx="26">
                  <c:v>300.7883540431892</c:v>
                </c:pt>
                <c:pt idx="27">
                  <c:v>300.80775382527554</c:v>
                </c:pt>
                <c:pt idx="28">
                  <c:v>300.86158638287742</c:v>
                </c:pt>
                <c:pt idx="29">
                  <c:v>300.90679451906902</c:v>
                </c:pt>
                <c:pt idx="30">
                  <c:v>301.0432130356777</c:v>
                </c:pt>
                <c:pt idx="31">
                  <c:v>301.1328272575239</c:v>
                </c:pt>
                <c:pt idx="32">
                  <c:v>301.28061201173313</c:v>
                </c:pt>
                <c:pt idx="33">
                  <c:v>301.21398637085315</c:v>
                </c:pt>
                <c:pt idx="34">
                  <c:v>301.06864478724708</c:v>
                </c:pt>
                <c:pt idx="35">
                  <c:v>300.92027387961923</c:v>
                </c:pt>
                <c:pt idx="36">
                  <c:v>300.81569165553395</c:v>
                </c:pt>
                <c:pt idx="37">
                  <c:v>300.79800810202494</c:v>
                </c:pt>
                <c:pt idx="38">
                  <c:v>300.81056470218692</c:v>
                </c:pt>
                <c:pt idx="39">
                  <c:v>300.69766658638292</c:v>
                </c:pt>
                <c:pt idx="40">
                  <c:v>300.54095584870674</c:v>
                </c:pt>
                <c:pt idx="41">
                  <c:v>300.47815889118738</c:v>
                </c:pt>
                <c:pt idx="42">
                  <c:v>300.46465632856837</c:v>
                </c:pt>
                <c:pt idx="43">
                  <c:v>300.47512256265878</c:v>
                </c:pt>
                <c:pt idx="44">
                  <c:v>300.50554536380884</c:v>
                </c:pt>
                <c:pt idx="45">
                  <c:v>300.57787993929855</c:v>
                </c:pt>
                <c:pt idx="46">
                  <c:v>300.54641625283352</c:v>
                </c:pt>
                <c:pt idx="47">
                  <c:v>300.51526644717552</c:v>
                </c:pt>
                <c:pt idx="48">
                  <c:v>300.43232366165648</c:v>
                </c:pt>
                <c:pt idx="49">
                  <c:v>300.38975902722325</c:v>
                </c:pt>
                <c:pt idx="50">
                  <c:v>300.31749670348466</c:v>
                </c:pt>
                <c:pt idx="51">
                  <c:v>300.30355709200199</c:v>
                </c:pt>
                <c:pt idx="52">
                  <c:v>300.23321711498789</c:v>
                </c:pt>
                <c:pt idx="53">
                  <c:v>300.16106356088278</c:v>
                </c:pt>
                <c:pt idx="54">
                  <c:v>300.08658897869401</c:v>
                </c:pt>
                <c:pt idx="55">
                  <c:v>299.97059908642711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6-9341-A943-1031A6476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369072"/>
        <c:axId val="1240552767"/>
      </c:lineChart>
      <c:catAx>
        <c:axId val="41936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amount of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40552767"/>
        <c:crosses val="autoZero"/>
        <c:auto val="1"/>
        <c:lblAlgn val="ctr"/>
        <c:lblOffset val="100"/>
        <c:noMultiLvlLbl val="0"/>
      </c:catAx>
      <c:valAx>
        <c:axId val="12405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running average/CI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4193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Policy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running 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policy_3!$E$2:$E$30</c:f>
              <c:numCache>
                <c:formatCode>General</c:formatCode>
                <c:ptCount val="29"/>
                <c:pt idx="0">
                  <c:v>319.25</c:v>
                </c:pt>
                <c:pt idx="1">
                  <c:v>317.375</c:v>
                </c:pt>
                <c:pt idx="2">
                  <c:v>315.41666666666669</c:v>
                </c:pt>
                <c:pt idx="3">
                  <c:v>315.1875</c:v>
                </c:pt>
                <c:pt idx="4">
                  <c:v>315.2</c:v>
                </c:pt>
                <c:pt idx="5">
                  <c:v>315.25</c:v>
                </c:pt>
                <c:pt idx="6">
                  <c:v>315.53571428571428</c:v>
                </c:pt>
                <c:pt idx="7">
                  <c:v>315.36250000000001</c:v>
                </c:pt>
                <c:pt idx="8">
                  <c:v>315.45</c:v>
                </c:pt>
                <c:pt idx="9">
                  <c:v>315.69499999999999</c:v>
                </c:pt>
                <c:pt idx="10">
                  <c:v>315.25454545454551</c:v>
                </c:pt>
                <c:pt idx="11">
                  <c:v>315.17083333333329</c:v>
                </c:pt>
                <c:pt idx="12">
                  <c:v>315.13846153846163</c:v>
                </c:pt>
                <c:pt idx="13">
                  <c:v>314.96785714285721</c:v>
                </c:pt>
                <c:pt idx="14">
                  <c:v>314.8366666666667</c:v>
                </c:pt>
                <c:pt idx="15">
                  <c:v>314.86250000000001</c:v>
                </c:pt>
                <c:pt idx="16">
                  <c:v>314.76764705882351</c:v>
                </c:pt>
                <c:pt idx="17">
                  <c:v>315.08055555555552</c:v>
                </c:pt>
                <c:pt idx="18">
                  <c:v>314.98421052631579</c:v>
                </c:pt>
                <c:pt idx="19">
                  <c:v>314.98500000000001</c:v>
                </c:pt>
                <c:pt idx="20">
                  <c:v>315.31904761904758</c:v>
                </c:pt>
                <c:pt idx="21">
                  <c:v>315.26590909090908</c:v>
                </c:pt>
                <c:pt idx="22">
                  <c:v>315.38043478260869</c:v>
                </c:pt>
                <c:pt idx="23">
                  <c:v>315.40625</c:v>
                </c:pt>
                <c:pt idx="24">
                  <c:v>315.33999999999997</c:v>
                </c:pt>
                <c:pt idx="25">
                  <c:v>315.30769230769232</c:v>
                </c:pt>
                <c:pt idx="26">
                  <c:v>315.39444444444439</c:v>
                </c:pt>
                <c:pt idx="27">
                  <c:v>315.43392857142862</c:v>
                </c:pt>
                <c:pt idx="28">
                  <c:v>315.36724137931031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3-C145-9C67-3EF97102BA65}"/>
            </c:ext>
          </c:extLst>
        </c:ser>
        <c:ser>
          <c:idx val="1"/>
          <c:order val="1"/>
          <c:tx>
            <c:v>CI-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policy_3!$I$2:$I$30</c:f>
              <c:numCache>
                <c:formatCode>General</c:formatCode>
                <c:ptCount val="29"/>
                <c:pt idx="0">
                  <c:v>319.25</c:v>
                </c:pt>
                <c:pt idx="1">
                  <c:v>313.7000675289874</c:v>
                </c:pt>
                <c:pt idx="2">
                  <c:v>311.03101153877111</c:v>
                </c:pt>
                <c:pt idx="3">
                  <c:v>312.05401492256652</c:v>
                </c:pt>
                <c:pt idx="4">
                  <c:v>312.77268925223001</c:v>
                </c:pt>
                <c:pt idx="5">
                  <c:v>313.26568770320512</c:v>
                </c:pt>
                <c:pt idx="6">
                  <c:v>313.76764044343895</c:v>
                </c:pt>
                <c:pt idx="7">
                  <c:v>313.79411871728388</c:v>
                </c:pt>
                <c:pt idx="8">
                  <c:v>314.05622656640787</c:v>
                </c:pt>
                <c:pt idx="9">
                  <c:v>314.35908567899662</c:v>
                </c:pt>
                <c:pt idx="10">
                  <c:v>313.76947779427161</c:v>
                </c:pt>
                <c:pt idx="11">
                  <c:v>313.80526574882055</c:v>
                </c:pt>
                <c:pt idx="12">
                  <c:v>313.88072071274371</c:v>
                </c:pt>
                <c:pt idx="13">
                  <c:v>313.75635661864936</c:v>
                </c:pt>
                <c:pt idx="14">
                  <c:v>313.67988196813769</c:v>
                </c:pt>
                <c:pt idx="15">
                  <c:v>313.7792430479642</c:v>
                </c:pt>
                <c:pt idx="16">
                  <c:v>313.73326071329313</c:v>
                </c:pt>
                <c:pt idx="17">
                  <c:v>313.92851602537593</c:v>
                </c:pt>
                <c:pt idx="18">
                  <c:v>313.87825023972073</c:v>
                </c:pt>
                <c:pt idx="19">
                  <c:v>313.93579280681371</c:v>
                </c:pt>
                <c:pt idx="20">
                  <c:v>314.12545882066541</c:v>
                </c:pt>
                <c:pt idx="21">
                  <c:v>314.12311106014528</c:v>
                </c:pt>
                <c:pt idx="22">
                  <c:v>314.26562165407637</c:v>
                </c:pt>
                <c:pt idx="23">
                  <c:v>314.33769911297048</c:v>
                </c:pt>
                <c:pt idx="24">
                  <c:v>314.30688949227437</c:v>
                </c:pt>
                <c:pt idx="25">
                  <c:v>314.31309407047041</c:v>
                </c:pt>
                <c:pt idx="26">
                  <c:v>314.42240522622984</c:v>
                </c:pt>
                <c:pt idx="27">
                  <c:v>314.49405674798408</c:v>
                </c:pt>
                <c:pt idx="28">
                  <c:v>314.45098737738346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3-C145-9C67-3EF97102BA65}"/>
            </c:ext>
          </c:extLst>
        </c:ser>
        <c:ser>
          <c:idx val="2"/>
          <c:order val="2"/>
          <c:tx>
            <c:v>CI+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policy_3!$J$2:$J$30</c:f>
              <c:numCache>
                <c:formatCode>General</c:formatCode>
                <c:ptCount val="29"/>
                <c:pt idx="0">
                  <c:v>319.25</c:v>
                </c:pt>
                <c:pt idx="1">
                  <c:v>321.0499324710126</c:v>
                </c:pt>
                <c:pt idx="2">
                  <c:v>319.80232179456226</c:v>
                </c:pt>
                <c:pt idx="3">
                  <c:v>318.32098507743348</c:v>
                </c:pt>
                <c:pt idx="4">
                  <c:v>317.62731074776997</c:v>
                </c:pt>
                <c:pt idx="5">
                  <c:v>317.23431229679488</c:v>
                </c:pt>
                <c:pt idx="6">
                  <c:v>317.30378812798961</c:v>
                </c:pt>
                <c:pt idx="7">
                  <c:v>316.93088128271614</c:v>
                </c:pt>
                <c:pt idx="8">
                  <c:v>316.8437734335921</c:v>
                </c:pt>
                <c:pt idx="9">
                  <c:v>317.03091432100337</c:v>
                </c:pt>
                <c:pt idx="10">
                  <c:v>316.73961311481941</c:v>
                </c:pt>
                <c:pt idx="11">
                  <c:v>316.53640091784604</c:v>
                </c:pt>
                <c:pt idx="12">
                  <c:v>316.39620236417954</c:v>
                </c:pt>
                <c:pt idx="13">
                  <c:v>316.17935766706506</c:v>
                </c:pt>
                <c:pt idx="14">
                  <c:v>315.99345136519571</c:v>
                </c:pt>
                <c:pt idx="15">
                  <c:v>315.94575695203582</c:v>
                </c:pt>
                <c:pt idx="16">
                  <c:v>315.80203340435389</c:v>
                </c:pt>
                <c:pt idx="17">
                  <c:v>316.23259508573511</c:v>
                </c:pt>
                <c:pt idx="18">
                  <c:v>316.09017081291086</c:v>
                </c:pt>
                <c:pt idx="19">
                  <c:v>316.03420719318632</c:v>
                </c:pt>
                <c:pt idx="20">
                  <c:v>316.51263641742975</c:v>
                </c:pt>
                <c:pt idx="21">
                  <c:v>316.40870712167288</c:v>
                </c:pt>
                <c:pt idx="22">
                  <c:v>316.49524791114101</c:v>
                </c:pt>
                <c:pt idx="23">
                  <c:v>316.47480088702952</c:v>
                </c:pt>
                <c:pt idx="24">
                  <c:v>316.37311050772558</c:v>
                </c:pt>
                <c:pt idx="25">
                  <c:v>316.30229054491423</c:v>
                </c:pt>
                <c:pt idx="26">
                  <c:v>316.36648366265894</c:v>
                </c:pt>
                <c:pt idx="27">
                  <c:v>316.37380039487317</c:v>
                </c:pt>
                <c:pt idx="28">
                  <c:v>316.28349538123717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13-C145-9C67-3EF97102B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4284688"/>
        <c:axId val="205576384"/>
      </c:lineChart>
      <c:catAx>
        <c:axId val="30428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amount of 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5576384"/>
        <c:crosses val="autoZero"/>
        <c:auto val="1"/>
        <c:lblAlgn val="ctr"/>
        <c:lblOffset val="100"/>
        <c:noMultiLvlLbl val="0"/>
      </c:catAx>
      <c:valAx>
        <c:axId val="2055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running average/CI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3042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8</xdr:row>
      <xdr:rowOff>31750</xdr:rowOff>
    </xdr:from>
    <xdr:to>
      <xdr:col>18</xdr:col>
      <xdr:colOff>114300</xdr:colOff>
      <xdr:row>22</xdr:row>
      <xdr:rowOff>107950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EDCC78C5-86B1-43C7-0D3B-676F4E23E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806450</xdr:colOff>
      <xdr:row>8</xdr:row>
      <xdr:rowOff>19050</xdr:rowOff>
    </xdr:from>
    <xdr:to>
      <xdr:col>18</xdr:col>
      <xdr:colOff>387350</xdr:colOff>
      <xdr:row>22</xdr:row>
      <xdr:rowOff>95250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B6050F23-848B-A834-A548-37B242019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139700</xdr:colOff>
      <xdr:row>12</xdr:row>
      <xdr:rowOff>120650</xdr:rowOff>
    </xdr:from>
    <xdr:to>
      <xdr:col>17</xdr:col>
      <xdr:colOff>393700</xdr:colOff>
      <xdr:row>27</xdr:row>
      <xdr:rowOff>6350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309151F3-6D6D-36DB-86F3-B9FB51510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203200</xdr:colOff>
      <xdr:row>9</xdr:row>
      <xdr:rowOff>44450</xdr:rowOff>
    </xdr:from>
    <xdr:to>
      <xdr:col>17</xdr:col>
      <xdr:colOff>127000</xdr:colOff>
      <xdr:row>23</xdr:row>
      <xdr:rowOff>120650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8FB8F58D-5608-F4E2-7194-BFB0E655E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opLeftCell="C3" zoomScale="138" workbookViewId="0">
      <selection activeCell="C2" activeCellId="1" sqref="I2:J31 C2:C31"/>
    </sheetView>
  </sheetViews>
  <sheetFormatPr baseColWidth="10" defaultColWidth="8.83203125" defaultRowHeight="15" x14ac:dyDescent="0.2"/>
  <cols>
    <col min="2" max="2" width="14.1640625" bestFit="1" customWidth="1"/>
    <col min="3" max="3" width="12.1640625" bestFit="1" customWidth="1"/>
    <col min="4" max="4" width="30" bestFit="1" customWidth="1"/>
    <col min="5" max="5" width="21.6640625" bestFit="1" customWidth="1"/>
    <col min="12" max="12" width="12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12</v>
      </c>
      <c r="E1" t="s">
        <v>11</v>
      </c>
      <c r="F1" t="s">
        <v>5</v>
      </c>
      <c r="G1" t="s">
        <v>4</v>
      </c>
      <c r="H1">
        <f>((NORMINV(0.975,0,1)*F101)/1)^2</f>
        <v>29.203817625504193</v>
      </c>
      <c r="I1" t="s">
        <v>6</v>
      </c>
      <c r="J1" t="s">
        <v>7</v>
      </c>
      <c r="L1" t="s">
        <v>4</v>
      </c>
      <c r="M1">
        <f>H2</f>
        <v>30</v>
      </c>
    </row>
    <row r="2" spans="1:13" x14ac:dyDescent="0.2">
      <c r="A2">
        <v>1</v>
      </c>
      <c r="B2">
        <v>507.54545454545462</v>
      </c>
      <c r="C2">
        <v>507.54545454545462</v>
      </c>
      <c r="D2">
        <v>507.9</v>
      </c>
      <c r="E2">
        <v>507.9</v>
      </c>
      <c r="F2">
        <v>0</v>
      </c>
      <c r="H2">
        <v>30</v>
      </c>
      <c r="I2">
        <f>E2-(NORMINV(0.975,0,1)*F2/SQRT(A2))</f>
        <v>507.9</v>
      </c>
      <c r="J2">
        <f>E2+(NORMINV(0.975,0,1)*F2/SQRT(A2))</f>
        <v>507.9</v>
      </c>
      <c r="L2" t="s">
        <v>8</v>
      </c>
      <c r="M2">
        <f>D31</f>
        <v>502.35</v>
      </c>
    </row>
    <row r="3" spans="1:13" x14ac:dyDescent="0.2">
      <c r="A3">
        <v>2</v>
      </c>
      <c r="B3">
        <v>503.45454545454538</v>
      </c>
      <c r="C3">
        <v>505.5</v>
      </c>
      <c r="D3">
        <v>505.8</v>
      </c>
      <c r="E3">
        <v>506.85</v>
      </c>
      <c r="F3">
        <f>_xlfn.STDEV.S(D$2:D3)</f>
        <v>1.4849242404917256</v>
      </c>
      <c r="I3">
        <f t="shared" ref="I3:I66" si="0">E3-(NORMINV(0.975,0,1)*F3/SQRT(A3))</f>
        <v>504.79203781623301</v>
      </c>
      <c r="J3">
        <f t="shared" ref="J3:J66" si="1">E3+(NORMINV(0.975,0,1)*F3/SQRT(A3))</f>
        <v>508.90796218376704</v>
      </c>
      <c r="L3" t="s">
        <v>9</v>
      </c>
      <c r="M3">
        <f>F31</f>
        <v>2.7499639496069634</v>
      </c>
    </row>
    <row r="4" spans="1:13" x14ac:dyDescent="0.2">
      <c r="A4">
        <v>3</v>
      </c>
      <c r="B4">
        <v>501.95454545454538</v>
      </c>
      <c r="C4">
        <v>504.31818181818181</v>
      </c>
      <c r="D4">
        <v>500.7</v>
      </c>
      <c r="E4">
        <v>504.8</v>
      </c>
      <c r="F4">
        <f>_xlfn.STDEV.S(D$2:D4)</f>
        <v>3.702701716314722</v>
      </c>
      <c r="I4">
        <f t="shared" si="0"/>
        <v>500.61007556027891</v>
      </c>
      <c r="J4">
        <f t="shared" si="1"/>
        <v>508.98992443972111</v>
      </c>
      <c r="L4" t="s">
        <v>13</v>
      </c>
      <c r="M4">
        <f>NORMINV(0.975,0,1)</f>
        <v>1.9599639845400536</v>
      </c>
    </row>
    <row r="5" spans="1:13" x14ac:dyDescent="0.2">
      <c r="A5">
        <v>4</v>
      </c>
      <c r="B5">
        <v>501</v>
      </c>
      <c r="C5">
        <v>503.48863636363637</v>
      </c>
      <c r="D5">
        <v>500.25</v>
      </c>
      <c r="E5">
        <v>503.66250000000002</v>
      </c>
      <c r="F5">
        <f>_xlfn.STDEV.S(D$2:D5)</f>
        <v>3.7835994766888281</v>
      </c>
      <c r="I5">
        <f t="shared" si="0"/>
        <v>499.95464064688269</v>
      </c>
      <c r="J5">
        <f t="shared" si="1"/>
        <v>507.37035935311735</v>
      </c>
      <c r="L5" t="s">
        <v>10</v>
      </c>
      <c r="M5">
        <f>M3/SQRT(M1)</f>
        <v>0.50207242917524453</v>
      </c>
    </row>
    <row r="6" spans="1:13" x14ac:dyDescent="0.2">
      <c r="A6">
        <v>5</v>
      </c>
      <c r="B6">
        <v>504.68181818181819</v>
      </c>
      <c r="C6">
        <v>503.72727272727269</v>
      </c>
      <c r="D6">
        <v>505.35</v>
      </c>
      <c r="E6">
        <v>504</v>
      </c>
      <c r="F6">
        <f>_xlfn.STDEV.S(D$2:D6)</f>
        <v>3.3624767657189842</v>
      </c>
      <c r="I6">
        <f t="shared" si="0"/>
        <v>501.05271332268228</v>
      </c>
      <c r="J6">
        <f>E6+(NORMINV(0.975,0,1)*F6/SQRT(A6))</f>
        <v>506.94728667731772</v>
      </c>
    </row>
    <row r="7" spans="1:13" x14ac:dyDescent="0.2">
      <c r="A7">
        <v>6</v>
      </c>
      <c r="B7">
        <v>504.81818181818181</v>
      </c>
      <c r="C7">
        <v>503.90909090909088</v>
      </c>
      <c r="D7">
        <v>505.05</v>
      </c>
      <c r="E7">
        <v>504.17500000000001</v>
      </c>
      <c r="F7">
        <f>_xlfn.STDEV.S(D$2:D7)</f>
        <v>3.0378857779712525</v>
      </c>
      <c r="I7">
        <f t="shared" si="0"/>
        <v>501.74422978285071</v>
      </c>
      <c r="J7">
        <f t="shared" si="1"/>
        <v>506.60577021714931</v>
      </c>
    </row>
    <row r="8" spans="1:13" x14ac:dyDescent="0.2">
      <c r="A8">
        <v>7</v>
      </c>
      <c r="B8">
        <v>504.40909090909088</v>
      </c>
      <c r="C8">
        <v>503.98051948051949</v>
      </c>
      <c r="D8">
        <v>504.6</v>
      </c>
      <c r="E8">
        <v>504.23571428571432</v>
      </c>
      <c r="F8">
        <f>_xlfn.STDEV.S(D$2:D8)</f>
        <v>2.7778460309075048</v>
      </c>
      <c r="I8">
        <f t="shared" si="0"/>
        <v>502.17789496142359</v>
      </c>
      <c r="J8">
        <f t="shared" si="1"/>
        <v>506.29353361000506</v>
      </c>
    </row>
    <row r="9" spans="1:13" x14ac:dyDescent="0.2">
      <c r="A9">
        <v>8</v>
      </c>
      <c r="B9">
        <v>500.04545454545462</v>
      </c>
      <c r="C9">
        <v>503.48863636363637</v>
      </c>
      <c r="D9">
        <v>499.35</v>
      </c>
      <c r="E9">
        <v>503.625</v>
      </c>
      <c r="F9">
        <f>_xlfn.STDEV.S(D$2:D9)</f>
        <v>3.0980408555823029</v>
      </c>
      <c r="I9">
        <f t="shared" si="0"/>
        <v>501.47820666512848</v>
      </c>
      <c r="J9">
        <f t="shared" si="1"/>
        <v>505.77179333487152</v>
      </c>
    </row>
    <row r="10" spans="1:13" x14ac:dyDescent="0.2">
      <c r="A10">
        <v>9</v>
      </c>
      <c r="B10">
        <v>503.18181818181819</v>
      </c>
      <c r="C10">
        <v>503.45454545454538</v>
      </c>
      <c r="D10">
        <v>502.5</v>
      </c>
      <c r="E10">
        <v>503.5</v>
      </c>
      <c r="F10">
        <f>_xlfn.STDEV.S(D$2:D10)</f>
        <v>2.9221139608167213</v>
      </c>
      <c r="I10">
        <f t="shared" si="0"/>
        <v>501.59092062602582</v>
      </c>
      <c r="J10">
        <f t="shared" si="1"/>
        <v>505.40907937397418</v>
      </c>
    </row>
    <row r="11" spans="1:13" x14ac:dyDescent="0.2">
      <c r="A11">
        <v>10</v>
      </c>
      <c r="B11">
        <v>510.40909090909088</v>
      </c>
      <c r="C11">
        <v>504.15</v>
      </c>
      <c r="D11">
        <v>510.9</v>
      </c>
      <c r="E11">
        <v>504.24</v>
      </c>
      <c r="F11">
        <f>_xlfn.STDEV.S(D$2:D11)</f>
        <v>3.6146922413948257</v>
      </c>
      <c r="I11">
        <f t="shared" si="0"/>
        <v>501.99963170547363</v>
      </c>
      <c r="J11">
        <f t="shared" si="1"/>
        <v>506.48036829452639</v>
      </c>
    </row>
    <row r="12" spans="1:13" x14ac:dyDescent="0.2">
      <c r="A12">
        <v>11</v>
      </c>
      <c r="B12">
        <v>503.59090909090912</v>
      </c>
      <c r="C12">
        <v>504.09917355371903</v>
      </c>
      <c r="D12">
        <v>502.95</v>
      </c>
      <c r="E12">
        <v>504.12272727272727</v>
      </c>
      <c r="F12">
        <f>_xlfn.STDEV.S(D$2:D12)</f>
        <v>3.4511855670452976</v>
      </c>
      <c r="I12">
        <f t="shared" si="0"/>
        <v>502.08324441200597</v>
      </c>
      <c r="J12">
        <f t="shared" si="1"/>
        <v>506.16221013344858</v>
      </c>
    </row>
    <row r="13" spans="1:13" x14ac:dyDescent="0.2">
      <c r="A13">
        <v>12</v>
      </c>
      <c r="B13">
        <v>507</v>
      </c>
      <c r="C13">
        <v>504.34090909090912</v>
      </c>
      <c r="D13">
        <v>505.95</v>
      </c>
      <c r="E13">
        <v>504.27499999999998</v>
      </c>
      <c r="F13">
        <f>_xlfn.STDEV.S(D$2:D13)</f>
        <v>3.332587037668532</v>
      </c>
      <c r="I13">
        <f t="shared" si="0"/>
        <v>502.38944602530353</v>
      </c>
      <c r="J13">
        <f t="shared" si="1"/>
        <v>506.16055397469643</v>
      </c>
    </row>
    <row r="14" spans="1:13" x14ac:dyDescent="0.2">
      <c r="A14">
        <v>13</v>
      </c>
      <c r="B14">
        <v>503.86363636363637</v>
      </c>
      <c r="C14">
        <v>504.30419580419579</v>
      </c>
      <c r="D14">
        <v>501.9</v>
      </c>
      <c r="E14">
        <v>504.09230769230771</v>
      </c>
      <c r="F14">
        <f>_xlfn.STDEV.S(D$2:D14)</f>
        <v>3.257993129331183</v>
      </c>
      <c r="I14">
        <f t="shared" si="0"/>
        <v>502.32127499646947</v>
      </c>
      <c r="J14">
        <f t="shared" si="1"/>
        <v>505.86334038814596</v>
      </c>
    </row>
    <row r="15" spans="1:13" x14ac:dyDescent="0.2">
      <c r="A15">
        <v>14</v>
      </c>
      <c r="B15">
        <v>503.31818181818181</v>
      </c>
      <c r="C15">
        <v>504.23376623376618</v>
      </c>
      <c r="D15">
        <v>505.35</v>
      </c>
      <c r="E15">
        <v>504.18214285714288</v>
      </c>
      <c r="F15">
        <f>_xlfn.STDEV.S(D$2:D15)</f>
        <v>3.1481745102920713</v>
      </c>
      <c r="I15">
        <f t="shared" si="0"/>
        <v>502.5330585024314</v>
      </c>
      <c r="J15">
        <f t="shared" si="1"/>
        <v>505.83122721185435</v>
      </c>
    </row>
    <row r="16" spans="1:13" x14ac:dyDescent="0.2">
      <c r="A16">
        <v>15</v>
      </c>
      <c r="B16">
        <v>499.36363636363637</v>
      </c>
      <c r="C16">
        <v>503.90909090909088</v>
      </c>
      <c r="D16">
        <v>499.8</v>
      </c>
      <c r="E16">
        <v>503.89</v>
      </c>
      <c r="F16">
        <f>_xlfn.STDEV.S(D$2:D16)</f>
        <v>3.237790251743569</v>
      </c>
      <c r="I16">
        <f t="shared" si="0"/>
        <v>502.25148216616356</v>
      </c>
      <c r="J16">
        <f t="shared" si="1"/>
        <v>505.52851783383642</v>
      </c>
    </row>
    <row r="17" spans="1:10" x14ac:dyDescent="0.2">
      <c r="A17">
        <v>16</v>
      </c>
      <c r="B17">
        <v>503.04545454545462</v>
      </c>
      <c r="C17">
        <v>503.85511363636363</v>
      </c>
      <c r="D17">
        <v>505.05</v>
      </c>
      <c r="E17">
        <v>503.96249999999998</v>
      </c>
      <c r="F17">
        <f>_xlfn.STDEV.S(D$2:D17)</f>
        <v>3.1414168777798297</v>
      </c>
      <c r="I17">
        <f t="shared" si="0"/>
        <v>502.42323401478131</v>
      </c>
      <c r="J17">
        <f t="shared" si="1"/>
        <v>505.50176598521864</v>
      </c>
    </row>
    <row r="18" spans="1:10" x14ac:dyDescent="0.2">
      <c r="A18">
        <v>17</v>
      </c>
      <c r="B18">
        <v>502.90909090909088</v>
      </c>
      <c r="C18">
        <v>503.79946524064178</v>
      </c>
      <c r="D18">
        <v>505.05</v>
      </c>
      <c r="E18">
        <v>504.02647058823533</v>
      </c>
      <c r="F18">
        <f>_xlfn.STDEV.S(D$2:D18)</f>
        <v>3.0530782441178705</v>
      </c>
      <c r="I18">
        <f t="shared" si="0"/>
        <v>502.57515598613674</v>
      </c>
      <c r="J18">
        <f t="shared" si="1"/>
        <v>505.47778519033392</v>
      </c>
    </row>
    <row r="19" spans="1:10" x14ac:dyDescent="0.2">
      <c r="A19">
        <v>18</v>
      </c>
      <c r="B19">
        <v>506.86363636363637</v>
      </c>
      <c r="C19">
        <v>503.969696969697</v>
      </c>
      <c r="D19">
        <v>507</v>
      </c>
      <c r="E19">
        <v>504.19166666666672</v>
      </c>
      <c r="F19">
        <f>_xlfn.STDEV.S(D$2:D19)</f>
        <v>3.0437133860583141</v>
      </c>
      <c r="I19">
        <f t="shared" si="0"/>
        <v>502.78556865934587</v>
      </c>
      <c r="J19">
        <f t="shared" si="1"/>
        <v>505.59776467398757</v>
      </c>
    </row>
    <row r="20" spans="1:10" x14ac:dyDescent="0.2">
      <c r="A20">
        <v>19</v>
      </c>
      <c r="B20">
        <v>502.22727272727269</v>
      </c>
      <c r="C20">
        <v>503.87799043062199</v>
      </c>
      <c r="D20">
        <v>501.75</v>
      </c>
      <c r="E20">
        <v>504.06315789473689</v>
      </c>
      <c r="F20">
        <f>_xlfn.STDEV.S(D$2:D20)</f>
        <v>3.010529766284364</v>
      </c>
      <c r="I20">
        <f t="shared" si="0"/>
        <v>502.709483493763</v>
      </c>
      <c r="J20">
        <f t="shared" si="1"/>
        <v>505.41683229571078</v>
      </c>
    </row>
    <row r="21" spans="1:10" x14ac:dyDescent="0.2">
      <c r="A21">
        <v>20</v>
      </c>
      <c r="B21">
        <v>505.09090909090912</v>
      </c>
      <c r="C21">
        <v>503.93863636363642</v>
      </c>
      <c r="D21">
        <v>503.55</v>
      </c>
      <c r="E21">
        <v>504.03750000000002</v>
      </c>
      <c r="F21">
        <f>_xlfn.STDEV.S(D$2:D21)</f>
        <v>2.9324803135696689</v>
      </c>
      <c r="I21">
        <f t="shared" si="0"/>
        <v>502.75230745267959</v>
      </c>
      <c r="J21">
        <f t="shared" si="1"/>
        <v>505.32269254732046</v>
      </c>
    </row>
    <row r="22" spans="1:10" x14ac:dyDescent="0.2">
      <c r="A22">
        <v>21</v>
      </c>
      <c r="B22">
        <v>502.63636363636363</v>
      </c>
      <c r="C22">
        <v>503.8766233766234</v>
      </c>
      <c r="D22">
        <v>503.25</v>
      </c>
      <c r="E22">
        <v>504</v>
      </c>
      <c r="F22">
        <f>_xlfn.STDEV.S(D$2:D22)</f>
        <v>2.8633895997575989</v>
      </c>
      <c r="I22">
        <f t="shared" si="0"/>
        <v>502.77533054273192</v>
      </c>
      <c r="J22">
        <f t="shared" si="1"/>
        <v>505.22466945726808</v>
      </c>
    </row>
    <row r="23" spans="1:10" x14ac:dyDescent="0.2">
      <c r="A23">
        <v>22</v>
      </c>
      <c r="B23">
        <v>505.22727272727269</v>
      </c>
      <c r="C23">
        <v>503.93801652892557</v>
      </c>
      <c r="D23">
        <v>505.65</v>
      </c>
      <c r="E23">
        <v>504.07499999999999</v>
      </c>
      <c r="F23">
        <f>_xlfn.STDEV.S(D$2:D23)</f>
        <v>2.8164377196329768</v>
      </c>
      <c r="I23">
        <f t="shared" si="0"/>
        <v>502.89810720886101</v>
      </c>
      <c r="J23">
        <f t="shared" si="1"/>
        <v>505.25189279113897</v>
      </c>
    </row>
    <row r="24" spans="1:10" x14ac:dyDescent="0.2">
      <c r="A24">
        <v>23</v>
      </c>
      <c r="B24">
        <v>499.63636363636363</v>
      </c>
      <c r="C24">
        <v>503.7509881422925</v>
      </c>
      <c r="D24">
        <v>499.95</v>
      </c>
      <c r="E24">
        <v>503.89565217391299</v>
      </c>
      <c r="F24">
        <f>_xlfn.STDEV.S(D$2:D24)</f>
        <v>2.8829795604972714</v>
      </c>
      <c r="I24">
        <f t="shared" si="0"/>
        <v>502.71743394850779</v>
      </c>
      <c r="J24">
        <f t="shared" si="1"/>
        <v>505.0738703993182</v>
      </c>
    </row>
    <row r="25" spans="1:10" x14ac:dyDescent="0.2">
      <c r="A25">
        <v>24</v>
      </c>
      <c r="B25">
        <v>498.13636363636363</v>
      </c>
      <c r="C25">
        <v>503.5170454545455</v>
      </c>
      <c r="D25">
        <v>498.9</v>
      </c>
      <c r="E25">
        <v>503.6875</v>
      </c>
      <c r="F25">
        <f>_xlfn.STDEV.S(D$2:D25)</f>
        <v>2.99834193310671</v>
      </c>
      <c r="I25">
        <f t="shared" si="0"/>
        <v>502.48793543363684</v>
      </c>
      <c r="J25">
        <f t="shared" si="1"/>
        <v>504.88706456636316</v>
      </c>
    </row>
    <row r="26" spans="1:10" x14ac:dyDescent="0.2">
      <c r="A26">
        <v>25</v>
      </c>
      <c r="B26">
        <v>503.72727272727269</v>
      </c>
      <c r="C26">
        <v>503.52545454545458</v>
      </c>
      <c r="D26">
        <v>503.55</v>
      </c>
      <c r="E26">
        <v>503.68200000000002</v>
      </c>
      <c r="F26">
        <f>_xlfn.STDEV.S(D$2:D26)</f>
        <v>2.9353406957285206</v>
      </c>
      <c r="I26">
        <f t="shared" si="0"/>
        <v>502.53136759080348</v>
      </c>
      <c r="J26">
        <f t="shared" si="1"/>
        <v>504.83263240919655</v>
      </c>
    </row>
    <row r="27" spans="1:10" x14ac:dyDescent="0.2">
      <c r="A27">
        <v>26</v>
      </c>
      <c r="B27">
        <v>506.72727272727269</v>
      </c>
      <c r="C27">
        <v>503.64860139860139</v>
      </c>
      <c r="D27">
        <v>506.85</v>
      </c>
      <c r="E27">
        <v>503.80384615384622</v>
      </c>
      <c r="F27">
        <f>_xlfn.STDEV.S(D$2:D27)</f>
        <v>2.9423773747404689</v>
      </c>
      <c r="I27">
        <f t="shared" si="0"/>
        <v>502.67285348593362</v>
      </c>
      <c r="J27">
        <f t="shared" si="1"/>
        <v>504.93483882175883</v>
      </c>
    </row>
    <row r="28" spans="1:10" x14ac:dyDescent="0.2">
      <c r="A28">
        <v>27</v>
      </c>
      <c r="B28">
        <v>503.72727272727269</v>
      </c>
      <c r="C28">
        <v>503.65151515151518</v>
      </c>
      <c r="D28">
        <v>503.7</v>
      </c>
      <c r="E28">
        <v>503.8</v>
      </c>
      <c r="F28">
        <f>_xlfn.STDEV.S(D$2:D28)</f>
        <v>2.8853076092507015</v>
      </c>
      <c r="I28">
        <f t="shared" si="0"/>
        <v>502.71167569031684</v>
      </c>
      <c r="J28">
        <f t="shared" si="1"/>
        <v>504.88832430968318</v>
      </c>
    </row>
    <row r="29" spans="1:10" x14ac:dyDescent="0.2">
      <c r="A29">
        <v>28</v>
      </c>
      <c r="B29">
        <v>503.59090909090912</v>
      </c>
      <c r="C29">
        <v>503.64935064935071</v>
      </c>
      <c r="D29">
        <v>502.95</v>
      </c>
      <c r="E29">
        <v>503.76964285714291</v>
      </c>
      <c r="F29">
        <f>_xlfn.STDEV.S(D$2:D29)</f>
        <v>2.8359249352010774</v>
      </c>
      <c r="I29">
        <f t="shared" si="0"/>
        <v>502.71922086309377</v>
      </c>
      <c r="J29">
        <f t="shared" si="1"/>
        <v>504.82006485119206</v>
      </c>
    </row>
    <row r="30" spans="1:10" x14ac:dyDescent="0.2">
      <c r="A30">
        <v>29</v>
      </c>
      <c r="B30">
        <v>504</v>
      </c>
      <c r="C30">
        <v>503.66144200626962</v>
      </c>
      <c r="D30">
        <v>503.25</v>
      </c>
      <c r="E30">
        <v>503.75172413793098</v>
      </c>
      <c r="F30">
        <f>_xlfn.STDEV.S(D$2:D30)</f>
        <v>2.7864943015572154</v>
      </c>
      <c r="I30">
        <f t="shared" si="0"/>
        <v>502.73756233048869</v>
      </c>
      <c r="J30">
        <f t="shared" si="1"/>
        <v>504.76588594537327</v>
      </c>
    </row>
    <row r="31" spans="1:10" s="1" customFormat="1" x14ac:dyDescent="0.2">
      <c r="A31" s="1">
        <v>30</v>
      </c>
      <c r="B31" s="1">
        <v>501.27272727272731</v>
      </c>
      <c r="C31" s="1">
        <v>503.58181818181822</v>
      </c>
      <c r="D31" s="1">
        <v>502.35</v>
      </c>
      <c r="E31" s="1">
        <v>503.70499999999998</v>
      </c>
      <c r="F31" s="1">
        <f>_xlfn.STDEV.S(D$2:D31)</f>
        <v>2.7499639496069634</v>
      </c>
      <c r="I31" s="1">
        <f t="shared" si="0"/>
        <v>502.72095612118596</v>
      </c>
      <c r="J31" s="1">
        <f t="shared" si="1"/>
        <v>504.689043878814</v>
      </c>
    </row>
    <row r="32" spans="1:10" x14ac:dyDescent="0.2">
      <c r="A32">
        <v>31</v>
      </c>
      <c r="B32">
        <v>504.13636363636363</v>
      </c>
      <c r="C32">
        <v>503.59970674486812</v>
      </c>
      <c r="D32">
        <v>504.6</v>
      </c>
      <c r="E32">
        <v>503.73387096774201</v>
      </c>
      <c r="F32">
        <f>_xlfn.STDEV.S(D$2:D32)</f>
        <v>2.7085170326451764</v>
      </c>
    </row>
    <row r="33" spans="1:6" x14ac:dyDescent="0.2">
      <c r="A33">
        <v>32</v>
      </c>
      <c r="B33">
        <v>504.27272727272731</v>
      </c>
      <c r="C33">
        <v>503.62073863636363</v>
      </c>
      <c r="D33">
        <v>505.65</v>
      </c>
      <c r="E33">
        <v>503.79374999999999</v>
      </c>
      <c r="F33">
        <f>_xlfn.STDEV.S(D$2:D33)</f>
        <v>2.6859175761378915</v>
      </c>
    </row>
    <row r="34" spans="1:6" x14ac:dyDescent="0.2">
      <c r="A34">
        <v>33</v>
      </c>
      <c r="B34">
        <v>506.59090909090912</v>
      </c>
      <c r="C34">
        <v>503.71074380165282</v>
      </c>
      <c r="D34">
        <v>507.75</v>
      </c>
      <c r="E34">
        <v>503.91363636363639</v>
      </c>
      <c r="F34">
        <f>_xlfn.STDEV.S(D$2:D34)</f>
        <v>2.7318512704091997</v>
      </c>
    </row>
    <row r="35" spans="1:6" x14ac:dyDescent="0.2">
      <c r="A35">
        <v>34</v>
      </c>
      <c r="B35">
        <v>499.09090909090912</v>
      </c>
      <c r="C35">
        <v>503.57486631016047</v>
      </c>
      <c r="D35">
        <v>497.55</v>
      </c>
      <c r="E35">
        <v>503.72647058823532</v>
      </c>
      <c r="F35">
        <f>_xlfn.STDEV.S(D$2:D35)</f>
        <v>2.9030870532077868</v>
      </c>
    </row>
    <row r="36" spans="1:6" x14ac:dyDescent="0.2">
      <c r="A36">
        <v>35</v>
      </c>
      <c r="B36">
        <v>501.95454545454538</v>
      </c>
      <c r="C36">
        <v>503.52857142857141</v>
      </c>
      <c r="D36">
        <v>500.55</v>
      </c>
      <c r="E36">
        <v>503.6357142857143</v>
      </c>
      <c r="F36">
        <f>_xlfn.STDEV.S(D$2:D36)</f>
        <v>2.9100376849331493</v>
      </c>
    </row>
    <row r="37" spans="1:6" x14ac:dyDescent="0.2">
      <c r="A37">
        <v>36</v>
      </c>
      <c r="B37">
        <v>504.68181818181819</v>
      </c>
      <c r="C37">
        <v>503.56060606060612</v>
      </c>
      <c r="D37">
        <v>504.75</v>
      </c>
      <c r="E37">
        <v>503.66666666666669</v>
      </c>
      <c r="F37">
        <f>_xlfn.STDEV.S(D$2:D37)</f>
        <v>2.8741706878432138</v>
      </c>
    </row>
    <row r="38" spans="1:6" x14ac:dyDescent="0.2">
      <c r="A38">
        <v>37</v>
      </c>
      <c r="B38">
        <v>506.04545454545462</v>
      </c>
      <c r="C38">
        <v>503.62776412776412</v>
      </c>
      <c r="D38">
        <v>506.1</v>
      </c>
      <c r="E38">
        <v>503.7324324324324</v>
      </c>
      <c r="F38">
        <f>_xlfn.STDEV.S(D$2:D38)</f>
        <v>2.8620654987122345</v>
      </c>
    </row>
    <row r="39" spans="1:6" x14ac:dyDescent="0.2">
      <c r="A39">
        <v>38</v>
      </c>
      <c r="B39">
        <v>503.59090909090912</v>
      </c>
      <c r="C39">
        <v>503.62679425837308</v>
      </c>
      <c r="D39">
        <v>504.75</v>
      </c>
      <c r="E39">
        <v>503.75921052631583</v>
      </c>
      <c r="F39">
        <f>_xlfn.STDEV.S(D$2:D39)</f>
        <v>2.8279458513671316</v>
      </c>
    </row>
    <row r="40" spans="1:6" x14ac:dyDescent="0.2">
      <c r="A40">
        <v>39</v>
      </c>
      <c r="B40">
        <v>504.54545454545462</v>
      </c>
      <c r="C40">
        <v>503.65034965034971</v>
      </c>
      <c r="D40">
        <v>506.85</v>
      </c>
      <c r="E40">
        <v>503.83846153846162</v>
      </c>
      <c r="F40">
        <f>_xlfn.STDEV.S(D$2:D40)</f>
        <v>2.8340379769969082</v>
      </c>
    </row>
    <row r="41" spans="1:6" x14ac:dyDescent="0.2">
      <c r="A41">
        <v>40</v>
      </c>
      <c r="B41">
        <v>500.18181818181819</v>
      </c>
      <c r="C41">
        <v>503.56363636363642</v>
      </c>
      <c r="D41">
        <v>499.2</v>
      </c>
      <c r="E41">
        <v>503.72250000000003</v>
      </c>
      <c r="F41">
        <f>_xlfn.STDEV.S(D$2:D41)</f>
        <v>2.8920082189477854</v>
      </c>
    </row>
    <row r="42" spans="1:6" x14ac:dyDescent="0.2">
      <c r="A42">
        <v>41</v>
      </c>
      <c r="B42">
        <v>501.13636363636363</v>
      </c>
      <c r="C42">
        <v>503.5044345898005</v>
      </c>
      <c r="D42">
        <v>500.85</v>
      </c>
      <c r="E42">
        <v>503.65243902439022</v>
      </c>
      <c r="F42">
        <f>_xlfn.STDEV.S(D$2:D42)</f>
        <v>2.8906519857013264</v>
      </c>
    </row>
    <row r="43" spans="1:6" x14ac:dyDescent="0.2">
      <c r="A43">
        <v>42</v>
      </c>
      <c r="B43">
        <v>501.40909090909088</v>
      </c>
      <c r="C43">
        <v>503.45454545454538</v>
      </c>
      <c r="D43">
        <v>500.85</v>
      </c>
      <c r="E43">
        <v>503.58571428571418</v>
      </c>
      <c r="F43">
        <f>_xlfn.STDEV.S(D$2:D43)</f>
        <v>2.8877429306379532</v>
      </c>
    </row>
    <row r="44" spans="1:6" x14ac:dyDescent="0.2">
      <c r="A44">
        <v>43</v>
      </c>
      <c r="B44">
        <v>498.95454545454538</v>
      </c>
      <c r="C44">
        <v>503.34989429175482</v>
      </c>
      <c r="D44">
        <v>498.75</v>
      </c>
      <c r="E44">
        <v>503.47325581395347</v>
      </c>
      <c r="F44">
        <f>_xlfn.STDEV.S(D$2:D44)</f>
        <v>2.9469182619348153</v>
      </c>
    </row>
    <row r="45" spans="1:6" x14ac:dyDescent="0.2">
      <c r="A45">
        <v>44</v>
      </c>
      <c r="B45">
        <v>504.27272727272731</v>
      </c>
      <c r="C45">
        <v>503.37086776859502</v>
      </c>
      <c r="D45">
        <v>504.45</v>
      </c>
      <c r="E45">
        <v>503.49545454545449</v>
      </c>
      <c r="F45">
        <f>_xlfn.STDEV.S(D$2:D45)</f>
        <v>2.9161701983582522</v>
      </c>
    </row>
    <row r="46" spans="1:6" x14ac:dyDescent="0.2">
      <c r="A46">
        <v>45</v>
      </c>
      <c r="B46">
        <v>503.86363636363637</v>
      </c>
      <c r="C46">
        <v>503.38181818181818</v>
      </c>
      <c r="D46">
        <v>504.45</v>
      </c>
      <c r="E46">
        <v>503.51666666666671</v>
      </c>
      <c r="F46">
        <f>_xlfn.STDEV.S(D$2:D46)</f>
        <v>2.886351109493217</v>
      </c>
    </row>
    <row r="47" spans="1:6" x14ac:dyDescent="0.2">
      <c r="A47">
        <v>46</v>
      </c>
      <c r="B47">
        <v>507</v>
      </c>
      <c r="C47">
        <v>503.46047430830038</v>
      </c>
      <c r="D47">
        <v>507.45</v>
      </c>
      <c r="E47">
        <v>503.60217391304349</v>
      </c>
      <c r="F47">
        <f>_xlfn.STDEV.S(D$2:D47)</f>
        <v>2.9124246584769082</v>
      </c>
    </row>
    <row r="48" spans="1:6" x14ac:dyDescent="0.2">
      <c r="A48">
        <v>47</v>
      </c>
      <c r="B48">
        <v>504.68181818181819</v>
      </c>
      <c r="C48">
        <v>503.4864603481625</v>
      </c>
      <c r="D48">
        <v>505.95</v>
      </c>
      <c r="E48">
        <v>503.65212765957449</v>
      </c>
      <c r="F48">
        <f>_xlfn.STDEV.S(D$2:D48)</f>
        <v>2.9008798786411791</v>
      </c>
    </row>
    <row r="49" spans="1:6" x14ac:dyDescent="0.2">
      <c r="A49">
        <v>48</v>
      </c>
      <c r="B49">
        <v>503.72727272727269</v>
      </c>
      <c r="C49">
        <v>503.49147727272731</v>
      </c>
      <c r="D49">
        <v>503.85</v>
      </c>
      <c r="E49">
        <v>503.65625</v>
      </c>
      <c r="F49">
        <f>_xlfn.STDEV.S(D$2:D49)</f>
        <v>2.8699956445959973</v>
      </c>
    </row>
    <row r="50" spans="1:6" x14ac:dyDescent="0.2">
      <c r="A50">
        <v>49</v>
      </c>
      <c r="B50">
        <v>504</v>
      </c>
      <c r="C50">
        <v>503.50185528756953</v>
      </c>
      <c r="D50">
        <v>504.75</v>
      </c>
      <c r="E50">
        <v>503.67857142857139</v>
      </c>
      <c r="F50">
        <f>_xlfn.STDEV.S(D$2:D50)</f>
        <v>2.8442375955605392</v>
      </c>
    </row>
    <row r="51" spans="1:6" x14ac:dyDescent="0.2">
      <c r="A51">
        <v>50</v>
      </c>
      <c r="B51">
        <v>505.36363636363637</v>
      </c>
      <c r="C51">
        <v>503.53909090909087</v>
      </c>
      <c r="D51">
        <v>505.35</v>
      </c>
      <c r="E51">
        <v>503.71199999999999</v>
      </c>
      <c r="F51">
        <f>_xlfn.STDEV.S(D$2:D51)</f>
        <v>2.824971735455498</v>
      </c>
    </row>
    <row r="52" spans="1:6" x14ac:dyDescent="0.2">
      <c r="A52">
        <v>51</v>
      </c>
      <c r="B52">
        <v>498</v>
      </c>
      <c r="C52">
        <v>503.43048128342241</v>
      </c>
      <c r="D52">
        <v>499.8</v>
      </c>
      <c r="E52">
        <v>503.63529411764711</v>
      </c>
      <c r="F52">
        <f>_xlfn.STDEV.S(D$2:D52)</f>
        <v>2.8497244448831704</v>
      </c>
    </row>
    <row r="53" spans="1:6" x14ac:dyDescent="0.2">
      <c r="A53">
        <v>52</v>
      </c>
      <c r="B53">
        <v>504.13636363636363</v>
      </c>
      <c r="C53">
        <v>503.44405594405589</v>
      </c>
      <c r="D53">
        <v>504.6</v>
      </c>
      <c r="E53">
        <v>503.65384615384608</v>
      </c>
      <c r="F53">
        <f>_xlfn.STDEV.S(D$2:D53)</f>
        <v>2.8248172967788534</v>
      </c>
    </row>
    <row r="54" spans="1:6" x14ac:dyDescent="0.2">
      <c r="A54">
        <v>53</v>
      </c>
      <c r="B54">
        <v>504</v>
      </c>
      <c r="C54">
        <v>503.45454545454538</v>
      </c>
      <c r="D54">
        <v>505.2</v>
      </c>
      <c r="E54">
        <v>503.68301886792449</v>
      </c>
      <c r="F54">
        <f>_xlfn.STDEV.S(D$2:D54)</f>
        <v>2.8055738374402925</v>
      </c>
    </row>
    <row r="55" spans="1:6" x14ac:dyDescent="0.2">
      <c r="A55">
        <v>54</v>
      </c>
      <c r="B55">
        <v>505.90909090909088</v>
      </c>
      <c r="C55">
        <v>503.5</v>
      </c>
      <c r="D55">
        <v>505.35</v>
      </c>
      <c r="E55">
        <v>503.7138888888889</v>
      </c>
      <c r="F55">
        <f>_xlfn.STDEV.S(D$2:D55)</f>
        <v>2.7882234938347974</v>
      </c>
    </row>
    <row r="56" spans="1:6" x14ac:dyDescent="0.2">
      <c r="A56">
        <v>55</v>
      </c>
      <c r="B56">
        <v>499.22727272727269</v>
      </c>
      <c r="C56">
        <v>503.42231404958682</v>
      </c>
      <c r="D56">
        <v>499.2</v>
      </c>
      <c r="E56">
        <v>503.63181818181818</v>
      </c>
      <c r="F56">
        <f>_xlfn.STDEV.S(D$2:D56)</f>
        <v>2.8285476517431718</v>
      </c>
    </row>
    <row r="57" spans="1:6" x14ac:dyDescent="0.2">
      <c r="A57">
        <v>56</v>
      </c>
      <c r="B57">
        <v>500.86363636363637</v>
      </c>
      <c r="C57">
        <v>503.37662337662329</v>
      </c>
      <c r="D57">
        <v>501.45</v>
      </c>
      <c r="E57">
        <v>503.59285714285721</v>
      </c>
      <c r="F57">
        <f>_xlfn.STDEV.S(D$2:D57)</f>
        <v>2.8178397362555554</v>
      </c>
    </row>
    <row r="58" spans="1:6" x14ac:dyDescent="0.2">
      <c r="A58">
        <v>57</v>
      </c>
      <c r="B58">
        <v>509.04545454545462</v>
      </c>
      <c r="C58">
        <v>503.47607655502401</v>
      </c>
      <c r="D58">
        <v>509.85</v>
      </c>
      <c r="E58">
        <v>503.70263157894738</v>
      </c>
      <c r="F58">
        <f>_xlfn.STDEV.S(D$2:D58)</f>
        <v>2.9129547629731261</v>
      </c>
    </row>
    <row r="59" spans="1:6" x14ac:dyDescent="0.2">
      <c r="A59">
        <v>58</v>
      </c>
      <c r="B59">
        <v>498.81818181818181</v>
      </c>
      <c r="C59">
        <v>503.39576802507833</v>
      </c>
      <c r="D59">
        <v>498.45</v>
      </c>
      <c r="E59">
        <v>503.61206896551732</v>
      </c>
      <c r="F59">
        <f>_xlfn.STDEV.S(D$2:D59)</f>
        <v>2.9685236206552896</v>
      </c>
    </row>
    <row r="60" spans="1:6" x14ac:dyDescent="0.2">
      <c r="A60">
        <v>59</v>
      </c>
      <c r="B60">
        <v>501.68181818181819</v>
      </c>
      <c r="C60">
        <v>503.36671802773498</v>
      </c>
      <c r="D60">
        <v>501.3</v>
      </c>
      <c r="E60">
        <v>503.57288135593222</v>
      </c>
      <c r="F60">
        <f>_xlfn.STDEV.S(D$2:D60)</f>
        <v>2.9581757256140011</v>
      </c>
    </row>
    <row r="61" spans="1:6" x14ac:dyDescent="0.2">
      <c r="A61">
        <v>60</v>
      </c>
      <c r="B61">
        <v>499.90909090909088</v>
      </c>
      <c r="C61">
        <v>503.30909090909091</v>
      </c>
      <c r="D61">
        <v>500.25</v>
      </c>
      <c r="E61">
        <v>503.51749999999998</v>
      </c>
      <c r="F61">
        <f>_xlfn.STDEV.S(D$2:D61)</f>
        <v>2.9642048838129171</v>
      </c>
    </row>
    <row r="62" spans="1:6" x14ac:dyDescent="0.2">
      <c r="A62">
        <v>61</v>
      </c>
      <c r="B62">
        <v>503.45454545454538</v>
      </c>
      <c r="C62">
        <v>503.31147540983608</v>
      </c>
      <c r="D62">
        <v>502.65</v>
      </c>
      <c r="E62">
        <v>503.50327868852457</v>
      </c>
      <c r="F62">
        <f>_xlfn.STDEV.S(D$2:D62)</f>
        <v>2.9414971932172445</v>
      </c>
    </row>
    <row r="63" spans="1:6" x14ac:dyDescent="0.2">
      <c r="A63">
        <v>62</v>
      </c>
      <c r="B63">
        <v>504.95454545454538</v>
      </c>
      <c r="C63">
        <v>503.33797653958942</v>
      </c>
      <c r="D63">
        <v>505.8</v>
      </c>
      <c r="E63">
        <v>503.54032258064518</v>
      </c>
      <c r="F63">
        <f>_xlfn.STDEV.S(D$2:D63)</f>
        <v>2.9318326209363788</v>
      </c>
    </row>
    <row r="64" spans="1:6" x14ac:dyDescent="0.2">
      <c r="A64">
        <v>63</v>
      </c>
      <c r="B64">
        <v>504.95454545454538</v>
      </c>
      <c r="C64">
        <v>503.36363636363637</v>
      </c>
      <c r="D64">
        <v>504.45</v>
      </c>
      <c r="E64">
        <v>503.5547619047619</v>
      </c>
      <c r="F64">
        <f>_xlfn.STDEV.S(D$2:D64)</f>
        <v>2.9103501935072926</v>
      </c>
    </row>
    <row r="65" spans="1:6" x14ac:dyDescent="0.2">
      <c r="A65">
        <v>64</v>
      </c>
      <c r="B65">
        <v>505.5</v>
      </c>
      <c r="C65">
        <v>503.39701704545462</v>
      </c>
      <c r="D65">
        <v>506.25</v>
      </c>
      <c r="E65">
        <v>503.59687500000001</v>
      </c>
      <c r="F65">
        <f>_xlfn.STDEV.S(D$2:D65)</f>
        <v>2.9067501489759024</v>
      </c>
    </row>
    <row r="66" spans="1:6" x14ac:dyDescent="0.2">
      <c r="A66">
        <v>65</v>
      </c>
      <c r="B66">
        <v>500.31818181818181</v>
      </c>
      <c r="C66">
        <v>503.34965034965029</v>
      </c>
      <c r="D66">
        <v>499.8</v>
      </c>
      <c r="E66">
        <v>503.53846153846149</v>
      </c>
      <c r="F66">
        <f>_xlfn.STDEV.S(D$2:D66)</f>
        <v>2.9221509793564482</v>
      </c>
    </row>
    <row r="67" spans="1:6" x14ac:dyDescent="0.2">
      <c r="A67">
        <v>66</v>
      </c>
      <c r="B67">
        <v>501.54545454545462</v>
      </c>
      <c r="C67">
        <v>503.32231404958679</v>
      </c>
      <c r="D67">
        <v>501.6</v>
      </c>
      <c r="E67">
        <v>503.5090909090909</v>
      </c>
      <c r="F67">
        <f>_xlfn.STDEV.S(D$2:D67)</f>
        <v>2.9093867856528584</v>
      </c>
    </row>
    <row r="68" spans="1:6" x14ac:dyDescent="0.2">
      <c r="A68">
        <v>67</v>
      </c>
      <c r="B68">
        <v>501.27272727272731</v>
      </c>
      <c r="C68">
        <v>503.291723202171</v>
      </c>
      <c r="D68">
        <v>501.15</v>
      </c>
      <c r="E68">
        <v>503.4738805970149</v>
      </c>
      <c r="F68">
        <f>_xlfn.STDEV.S(D$2:D68)</f>
        <v>2.9016108145063582</v>
      </c>
    </row>
    <row r="69" spans="1:6" x14ac:dyDescent="0.2">
      <c r="A69">
        <v>68</v>
      </c>
      <c r="B69">
        <v>502.36363636363637</v>
      </c>
      <c r="C69">
        <v>503.27807486631008</v>
      </c>
      <c r="D69">
        <v>502.2</v>
      </c>
      <c r="E69">
        <v>503.45514705882351</v>
      </c>
      <c r="F69">
        <f>_xlfn.STDEV.S(D$2:D69)</f>
        <v>2.8840159048183063</v>
      </c>
    </row>
    <row r="70" spans="1:6" x14ac:dyDescent="0.2">
      <c r="A70">
        <v>69</v>
      </c>
      <c r="B70">
        <v>502.90909090909088</v>
      </c>
      <c r="C70">
        <v>503.27272727272731</v>
      </c>
      <c r="D70">
        <v>501.75</v>
      </c>
      <c r="E70">
        <v>503.43043478260859</v>
      </c>
      <c r="F70">
        <f>_xlfn.STDEV.S(D$2:D70)</f>
        <v>2.8700816932330002</v>
      </c>
    </row>
    <row r="71" spans="1:6" x14ac:dyDescent="0.2">
      <c r="A71">
        <v>70</v>
      </c>
      <c r="B71">
        <v>501.54545454545462</v>
      </c>
      <c r="C71">
        <v>503.24805194805202</v>
      </c>
      <c r="D71">
        <v>500.1</v>
      </c>
      <c r="E71">
        <v>503.38285714285718</v>
      </c>
      <c r="F71">
        <f>_xlfn.STDEV.S(D$2:D71)</f>
        <v>2.8768804274402546</v>
      </c>
    </row>
    <row r="72" spans="1:6" x14ac:dyDescent="0.2">
      <c r="A72">
        <v>71</v>
      </c>
      <c r="B72">
        <v>499.77272727272731</v>
      </c>
      <c r="C72">
        <v>503.19910371318821</v>
      </c>
      <c r="D72">
        <v>502.2</v>
      </c>
      <c r="E72">
        <v>503.36619718309862</v>
      </c>
      <c r="F72">
        <f>_xlfn.STDEV.S(D$2:D72)</f>
        <v>2.8597049629024833</v>
      </c>
    </row>
    <row r="73" spans="1:6" x14ac:dyDescent="0.2">
      <c r="A73">
        <v>72</v>
      </c>
      <c r="B73">
        <v>503.18181818181819</v>
      </c>
      <c r="C73">
        <v>503.19886363636368</v>
      </c>
      <c r="D73">
        <v>504</v>
      </c>
      <c r="E73">
        <v>503.375</v>
      </c>
      <c r="F73">
        <f>_xlfn.STDEV.S(D$2:D73)</f>
        <v>2.8404770478134349</v>
      </c>
    </row>
    <row r="74" spans="1:6" x14ac:dyDescent="0.2">
      <c r="A74">
        <v>73</v>
      </c>
      <c r="B74">
        <v>502.5</v>
      </c>
      <c r="C74">
        <v>503.18929016189293</v>
      </c>
      <c r="D74">
        <v>502.8</v>
      </c>
      <c r="E74">
        <v>503.36712328767129</v>
      </c>
      <c r="F74">
        <f>_xlfn.STDEV.S(D$2:D74)</f>
        <v>2.8214852665908148</v>
      </c>
    </row>
    <row r="75" spans="1:6" x14ac:dyDescent="0.2">
      <c r="A75">
        <v>74</v>
      </c>
      <c r="B75">
        <v>502.77272727272731</v>
      </c>
      <c r="C75">
        <v>503.18366093366097</v>
      </c>
      <c r="D75">
        <v>501.9</v>
      </c>
      <c r="E75">
        <v>503.34729729729719</v>
      </c>
      <c r="F75">
        <f>_xlfn.STDEV.S(D$2:D75)</f>
        <v>2.8072788449214103</v>
      </c>
    </row>
    <row r="76" spans="1:6" x14ac:dyDescent="0.2">
      <c r="A76">
        <v>75</v>
      </c>
      <c r="B76">
        <v>502.22727272727269</v>
      </c>
      <c r="C76">
        <v>503.17090909090911</v>
      </c>
      <c r="D76">
        <v>503.25</v>
      </c>
      <c r="E76">
        <v>503.34599999999989</v>
      </c>
      <c r="F76">
        <f>_xlfn.STDEV.S(D$2:D76)</f>
        <v>2.7882688613624125</v>
      </c>
    </row>
    <row r="77" spans="1:6" x14ac:dyDescent="0.2">
      <c r="A77">
        <v>76</v>
      </c>
      <c r="B77">
        <v>500.59090909090912</v>
      </c>
      <c r="C77">
        <v>503.13696172248802</v>
      </c>
      <c r="D77">
        <v>500.55</v>
      </c>
      <c r="E77">
        <v>503.30921052631578</v>
      </c>
      <c r="F77">
        <f>_xlfn.STDEV.S(D$2:D77)</f>
        <v>2.7881261392593153</v>
      </c>
    </row>
    <row r="78" spans="1:6" x14ac:dyDescent="0.2">
      <c r="A78">
        <v>77</v>
      </c>
      <c r="B78">
        <v>505.5</v>
      </c>
      <c r="C78">
        <v>503.16765053128688</v>
      </c>
      <c r="D78">
        <v>504.9</v>
      </c>
      <c r="E78">
        <v>503.32987012987007</v>
      </c>
      <c r="F78">
        <f>_xlfn.STDEV.S(D$2:D78)</f>
        <v>2.7756490438257448</v>
      </c>
    </row>
    <row r="79" spans="1:6" x14ac:dyDescent="0.2">
      <c r="A79">
        <v>78</v>
      </c>
      <c r="B79">
        <v>505.09090909090912</v>
      </c>
      <c r="C79">
        <v>503.19230769230768</v>
      </c>
      <c r="D79">
        <v>504</v>
      </c>
      <c r="E79">
        <v>503.33846153846162</v>
      </c>
      <c r="F79">
        <f>_xlfn.STDEV.S(D$2:D79)</f>
        <v>2.7586101699823531</v>
      </c>
    </row>
    <row r="80" spans="1:6" x14ac:dyDescent="0.2">
      <c r="A80">
        <v>79</v>
      </c>
      <c r="B80">
        <v>505.90909090909088</v>
      </c>
      <c r="C80">
        <v>503.22669735327958</v>
      </c>
      <c r="D80">
        <v>505.8</v>
      </c>
      <c r="E80">
        <v>503.3696202531645</v>
      </c>
      <c r="F80">
        <f>_xlfn.STDEV.S(D$2:D80)</f>
        <v>2.7548258091136928</v>
      </c>
    </row>
    <row r="81" spans="1:6" x14ac:dyDescent="0.2">
      <c r="A81">
        <v>80</v>
      </c>
      <c r="B81">
        <v>507.54545454545462</v>
      </c>
      <c r="C81">
        <v>503.28068181818179</v>
      </c>
      <c r="D81">
        <v>508.95</v>
      </c>
      <c r="E81">
        <v>503.43937499999998</v>
      </c>
      <c r="F81">
        <f>_xlfn.STDEV.S(D$2:D81)</f>
        <v>2.8075361258764366</v>
      </c>
    </row>
    <row r="82" spans="1:6" x14ac:dyDescent="0.2">
      <c r="A82">
        <v>81</v>
      </c>
      <c r="B82">
        <v>500.86363636363637</v>
      </c>
      <c r="C82">
        <v>503.2508417508418</v>
      </c>
      <c r="D82">
        <v>499.5</v>
      </c>
      <c r="E82">
        <v>503.39074074074068</v>
      </c>
      <c r="F82">
        <f>_xlfn.STDEV.S(D$2:D82)</f>
        <v>2.8240608074976787</v>
      </c>
    </row>
    <row r="83" spans="1:6" x14ac:dyDescent="0.2">
      <c r="A83">
        <v>82</v>
      </c>
      <c r="B83">
        <v>506.59090909090912</v>
      </c>
      <c r="C83">
        <v>503.29157427937912</v>
      </c>
      <c r="D83">
        <v>507.15</v>
      </c>
      <c r="E83">
        <v>503.43658536585372</v>
      </c>
      <c r="F83">
        <f>_xlfn.STDEV.S(D$2:D83)</f>
        <v>2.8371113023646815</v>
      </c>
    </row>
    <row r="84" spans="1:6" x14ac:dyDescent="0.2">
      <c r="A84">
        <v>83</v>
      </c>
      <c r="B84">
        <v>503.45454545454538</v>
      </c>
      <c r="C84">
        <v>503.29353778751369</v>
      </c>
      <c r="D84">
        <v>504.9</v>
      </c>
      <c r="E84">
        <v>503.45421686746982</v>
      </c>
      <c r="F84">
        <f>_xlfn.STDEV.S(D$2:D84)</f>
        <v>2.8243303201419256</v>
      </c>
    </row>
    <row r="85" spans="1:6" x14ac:dyDescent="0.2">
      <c r="A85">
        <v>84</v>
      </c>
      <c r="B85">
        <v>501</v>
      </c>
      <c r="C85">
        <v>503.26623376623382</v>
      </c>
      <c r="D85">
        <v>501.75</v>
      </c>
      <c r="E85">
        <v>503.43392857142851</v>
      </c>
      <c r="F85">
        <f>_xlfn.STDEV.S(D$2:D85)</f>
        <v>2.8134162305643202</v>
      </c>
    </row>
    <row r="86" spans="1:6" x14ac:dyDescent="0.2">
      <c r="A86">
        <v>85</v>
      </c>
      <c r="B86">
        <v>499.77272727272731</v>
      </c>
      <c r="C86">
        <v>503.22513368983948</v>
      </c>
      <c r="D86">
        <v>498.9</v>
      </c>
      <c r="E86">
        <v>503.38058823529411</v>
      </c>
      <c r="F86">
        <f>_xlfn.STDEV.S(D$2:D86)</f>
        <v>2.8395285293350301</v>
      </c>
    </row>
    <row r="87" spans="1:6" x14ac:dyDescent="0.2">
      <c r="A87">
        <v>86</v>
      </c>
      <c r="B87">
        <v>503.59090909090912</v>
      </c>
      <c r="C87">
        <v>503.22938689217762</v>
      </c>
      <c r="D87">
        <v>503.85</v>
      </c>
      <c r="E87">
        <v>503.38604651162791</v>
      </c>
      <c r="F87">
        <f>_xlfn.STDEV.S(D$2:D87)</f>
        <v>2.8232298062658105</v>
      </c>
    </row>
    <row r="88" spans="1:6" x14ac:dyDescent="0.2">
      <c r="A88">
        <v>87</v>
      </c>
      <c r="B88">
        <v>506.04545454545462</v>
      </c>
      <c r="C88">
        <v>503.26175548589339</v>
      </c>
      <c r="D88">
        <v>504.15</v>
      </c>
      <c r="E88">
        <v>503.39482758620687</v>
      </c>
      <c r="F88">
        <f>_xlfn.STDEV.S(D$2:D88)</f>
        <v>2.8079624583676774</v>
      </c>
    </row>
    <row r="89" spans="1:6" x14ac:dyDescent="0.2">
      <c r="A89">
        <v>88</v>
      </c>
      <c r="B89">
        <v>503.31818181818181</v>
      </c>
      <c r="C89">
        <v>503.26239669421489</v>
      </c>
      <c r="D89">
        <v>503.85</v>
      </c>
      <c r="E89">
        <v>503.4</v>
      </c>
      <c r="F89">
        <f>_xlfn.STDEV.S(D$2:D89)</f>
        <v>2.7921997260842266</v>
      </c>
    </row>
    <row r="90" spans="1:6" x14ac:dyDescent="0.2">
      <c r="A90">
        <v>89</v>
      </c>
      <c r="B90">
        <v>498.40909090909088</v>
      </c>
      <c r="C90">
        <v>503.20786516853929</v>
      </c>
      <c r="D90">
        <v>499.5</v>
      </c>
      <c r="E90">
        <v>503.35617977528091</v>
      </c>
      <c r="F90">
        <f>_xlfn.STDEV.S(D$2:D90)</f>
        <v>2.8068991729867294</v>
      </c>
    </row>
    <row r="91" spans="1:6" x14ac:dyDescent="0.2">
      <c r="A91">
        <v>90</v>
      </c>
      <c r="B91">
        <v>503.31818181818181</v>
      </c>
      <c r="C91">
        <v>503.20909090909089</v>
      </c>
      <c r="D91">
        <v>503.55</v>
      </c>
      <c r="E91">
        <v>503.35833333333329</v>
      </c>
      <c r="F91">
        <f>_xlfn.STDEV.S(D$2:D91)</f>
        <v>2.7911603040127635</v>
      </c>
    </row>
    <row r="92" spans="1:6" x14ac:dyDescent="0.2">
      <c r="A92">
        <v>91</v>
      </c>
      <c r="B92">
        <v>505.22727272727269</v>
      </c>
      <c r="C92">
        <v>503.23126873126881</v>
      </c>
      <c r="D92">
        <v>504.45</v>
      </c>
      <c r="E92">
        <v>503.37032967032962</v>
      </c>
      <c r="F92">
        <f>_xlfn.STDEV.S(D$2:D92)</f>
        <v>2.7779686625500095</v>
      </c>
    </row>
    <row r="93" spans="1:6" x14ac:dyDescent="0.2">
      <c r="A93">
        <v>92</v>
      </c>
      <c r="B93">
        <v>503.59090909090912</v>
      </c>
      <c r="C93">
        <v>503.23517786561263</v>
      </c>
      <c r="D93">
        <v>503.4</v>
      </c>
      <c r="E93">
        <v>503.37065217391302</v>
      </c>
      <c r="F93">
        <f>_xlfn.STDEV.S(D$2:D93)</f>
        <v>2.7626646654112235</v>
      </c>
    </row>
    <row r="94" spans="1:6" x14ac:dyDescent="0.2">
      <c r="A94">
        <v>93</v>
      </c>
      <c r="B94">
        <v>501.54545454545462</v>
      </c>
      <c r="C94">
        <v>503.21700879765388</v>
      </c>
      <c r="D94">
        <v>501</v>
      </c>
      <c r="E94">
        <v>503.34516129032261</v>
      </c>
      <c r="F94">
        <f>_xlfn.STDEV.S(D$2:D94)</f>
        <v>2.7585840779296573</v>
      </c>
    </row>
    <row r="95" spans="1:6" x14ac:dyDescent="0.2">
      <c r="A95">
        <v>94</v>
      </c>
      <c r="B95">
        <v>504.13636363636363</v>
      </c>
      <c r="C95">
        <v>503.22678916827857</v>
      </c>
      <c r="D95">
        <v>504.3</v>
      </c>
      <c r="E95">
        <v>503.35531914893619</v>
      </c>
      <c r="F95">
        <f>_xlfn.STDEV.S(D$2:D95)</f>
        <v>2.7454798441198016</v>
      </c>
    </row>
    <row r="96" spans="1:6" x14ac:dyDescent="0.2">
      <c r="A96">
        <v>95</v>
      </c>
      <c r="B96">
        <v>505.09090909090912</v>
      </c>
      <c r="C96">
        <v>503.24641148325361</v>
      </c>
      <c r="D96">
        <v>505.2</v>
      </c>
      <c r="E96">
        <v>503.37473684210522</v>
      </c>
      <c r="F96">
        <f>_xlfn.STDEV.S(D$2:D96)</f>
        <v>2.7373876512864324</v>
      </c>
    </row>
    <row r="97" spans="1:6" x14ac:dyDescent="0.2">
      <c r="A97">
        <v>96</v>
      </c>
      <c r="B97">
        <v>510.13636363636363</v>
      </c>
      <c r="C97">
        <v>503.31818181818181</v>
      </c>
      <c r="D97">
        <v>509.25</v>
      </c>
      <c r="E97">
        <v>503.43593750000002</v>
      </c>
      <c r="F97">
        <f>_xlfn.STDEV.S(D$2:D97)</f>
        <v>2.7881865746395089</v>
      </c>
    </row>
    <row r="98" spans="1:6" x14ac:dyDescent="0.2">
      <c r="A98">
        <v>97</v>
      </c>
      <c r="B98">
        <v>503.31818181818181</v>
      </c>
      <c r="C98">
        <v>503.31818181818193</v>
      </c>
      <c r="D98">
        <v>503.1</v>
      </c>
      <c r="E98">
        <v>503.43247422680412</v>
      </c>
      <c r="F98">
        <f>_xlfn.STDEV.S(D$2:D98)</f>
        <v>2.7738364793968993</v>
      </c>
    </row>
    <row r="99" spans="1:6" x14ac:dyDescent="0.2">
      <c r="A99">
        <v>98</v>
      </c>
      <c r="B99">
        <v>503.04545454545462</v>
      </c>
      <c r="C99">
        <v>503.31539888682738</v>
      </c>
      <c r="D99">
        <v>503.7</v>
      </c>
      <c r="E99">
        <v>503.43520408163272</v>
      </c>
      <c r="F99">
        <f>_xlfn.STDEV.S(D$2:D99)</f>
        <v>2.7596336338312839</v>
      </c>
    </row>
    <row r="100" spans="1:6" x14ac:dyDescent="0.2">
      <c r="A100">
        <v>99</v>
      </c>
      <c r="B100">
        <v>501.54545454545462</v>
      </c>
      <c r="C100">
        <v>503.29752066115702</v>
      </c>
      <c r="D100">
        <v>500.55</v>
      </c>
      <c r="E100">
        <v>503.40606060606058</v>
      </c>
      <c r="F100">
        <f>_xlfn.STDEV.S(D$2:D100)</f>
        <v>2.7607884182180595</v>
      </c>
    </row>
    <row r="101" spans="1:6" x14ac:dyDescent="0.2">
      <c r="A101">
        <v>100</v>
      </c>
      <c r="B101">
        <v>505.5</v>
      </c>
      <c r="C101">
        <v>503.31954545454539</v>
      </c>
      <c r="D101">
        <v>505.8</v>
      </c>
      <c r="E101">
        <v>503.43</v>
      </c>
      <c r="F101">
        <f>_xlfn.STDEV.S(D$2:D101)</f>
        <v>2.7572219220209186</v>
      </c>
    </row>
    <row r="103" spans="1:6" x14ac:dyDescent="0.2">
      <c r="A103" t="s">
        <v>3</v>
      </c>
      <c r="B103">
        <v>503.31954545454539</v>
      </c>
      <c r="D103">
        <v>503.43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3"/>
  <sheetViews>
    <sheetView zoomScale="75" workbookViewId="0">
      <selection activeCell="N26" sqref="N26"/>
    </sheetView>
  </sheetViews>
  <sheetFormatPr baseColWidth="10" defaultColWidth="8.83203125" defaultRowHeight="15" x14ac:dyDescent="0.2"/>
  <cols>
    <col min="4" max="4" width="30" bestFit="1" customWidth="1"/>
    <col min="5" max="5" width="21.6640625" bestFit="1" customWidth="1"/>
    <col min="12" max="12" width="12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12</v>
      </c>
      <c r="E1" t="s">
        <v>11</v>
      </c>
      <c r="F1" t="s">
        <v>5</v>
      </c>
      <c r="G1" t="s">
        <v>4</v>
      </c>
      <c r="H1">
        <f>((NORMINV(0.975,0,1)*F101)/1)^2</f>
        <v>68.955831062307865</v>
      </c>
      <c r="I1" t="s">
        <v>6</v>
      </c>
      <c r="J1" t="s">
        <v>7</v>
      </c>
      <c r="L1" t="s">
        <v>4</v>
      </c>
      <c r="M1">
        <f>H2</f>
        <v>69</v>
      </c>
    </row>
    <row r="2" spans="1:13" x14ac:dyDescent="0.2">
      <c r="A2">
        <v>1</v>
      </c>
      <c r="B2">
        <v>378.47826086956519</v>
      </c>
      <c r="C2">
        <v>378.47826086956519</v>
      </c>
      <c r="D2">
        <v>381.1</v>
      </c>
      <c r="E2">
        <v>381.1</v>
      </c>
      <c r="F2">
        <v>0</v>
      </c>
      <c r="H2">
        <v>69</v>
      </c>
      <c r="I2">
        <f>E2-(NORMINV(0.975,0,1)*F2/SQRT(A2))</f>
        <v>381.1</v>
      </c>
      <c r="J2">
        <f>E2+(NORMINV(0.975,0,1)*F2/SQRT(A2))</f>
        <v>381.1</v>
      </c>
      <c r="L2" t="s">
        <v>8</v>
      </c>
      <c r="M2">
        <f>D70</f>
        <v>389.3</v>
      </c>
    </row>
    <row r="3" spans="1:13" x14ac:dyDescent="0.2">
      <c r="A3">
        <v>2</v>
      </c>
      <c r="B3">
        <v>382.86956521739131</v>
      </c>
      <c r="C3">
        <v>380.67391304347831</v>
      </c>
      <c r="D3">
        <v>384.1</v>
      </c>
      <c r="E3">
        <v>382.6</v>
      </c>
      <c r="F3">
        <f>_xlfn.STDEV.S(D$2:D3)</f>
        <v>2.1213203435596424</v>
      </c>
      <c r="I3">
        <f t="shared" ref="I3:I66" si="0">E3-(NORMINV(0.975,0,1)*F3/SQRT(A3))</f>
        <v>379.66005402318996</v>
      </c>
      <c r="J3">
        <f t="shared" ref="J3:J66" si="1">E3+(NORMINV(0.975,0,1)*F3/SQRT(A3))</f>
        <v>385.53994597681009</v>
      </c>
      <c r="L3" t="s">
        <v>9</v>
      </c>
      <c r="M3">
        <f>F70</f>
        <v>4.0206905732003255</v>
      </c>
    </row>
    <row r="4" spans="1:13" x14ac:dyDescent="0.2">
      <c r="A4">
        <v>3</v>
      </c>
      <c r="B4">
        <v>378.95652173913038</v>
      </c>
      <c r="C4">
        <v>380.10144927536231</v>
      </c>
      <c r="D4">
        <v>380.1</v>
      </c>
      <c r="E4">
        <v>381.76666666666671</v>
      </c>
      <c r="F4">
        <f>_xlfn.STDEV.S(D$2:D4)</f>
        <v>2.0816659994661326</v>
      </c>
      <c r="I4">
        <f t="shared" si="0"/>
        <v>379.41108311855942</v>
      </c>
      <c r="J4">
        <f t="shared" si="1"/>
        <v>384.122250214774</v>
      </c>
      <c r="L4" t="s">
        <v>13</v>
      </c>
      <c r="M4">
        <f>NORMINV(0.975,0,1)</f>
        <v>1.9599639845400536</v>
      </c>
    </row>
    <row r="5" spans="1:13" x14ac:dyDescent="0.2">
      <c r="A5">
        <v>4</v>
      </c>
      <c r="B5">
        <v>382.17391304347831</v>
      </c>
      <c r="C5">
        <v>380.61956521739131</v>
      </c>
      <c r="D5">
        <v>378.3</v>
      </c>
      <c r="E5">
        <v>380.9</v>
      </c>
      <c r="F5">
        <f>_xlfn.STDEV.S(D$2:D5)</f>
        <v>2.4276188608044205</v>
      </c>
      <c r="I5">
        <f t="shared" si="0"/>
        <v>378.52097723231657</v>
      </c>
      <c r="J5">
        <f t="shared" si="1"/>
        <v>383.27902276768339</v>
      </c>
      <c r="L5" t="s">
        <v>10</v>
      </c>
      <c r="M5">
        <f>M3/SQRT(M1)</f>
        <v>0.48403426464863153</v>
      </c>
    </row>
    <row r="6" spans="1:13" x14ac:dyDescent="0.2">
      <c r="A6">
        <v>5</v>
      </c>
      <c r="B6">
        <v>380.47826086956519</v>
      </c>
      <c r="C6">
        <v>380.59130434782611</v>
      </c>
      <c r="D6">
        <v>380.55</v>
      </c>
      <c r="E6">
        <v>380.83</v>
      </c>
      <c r="F6">
        <f>_xlfn.STDEV.S(D$2:D6)</f>
        <v>2.1081982828946653</v>
      </c>
      <c r="I6">
        <f t="shared" si="0"/>
        <v>378.98211668503797</v>
      </c>
      <c r="J6">
        <f t="shared" si="1"/>
        <v>382.677883314962</v>
      </c>
    </row>
    <row r="7" spans="1:13" x14ac:dyDescent="0.2">
      <c r="A7">
        <v>6</v>
      </c>
      <c r="B7">
        <v>381.13043478260869</v>
      </c>
      <c r="C7">
        <v>380.68115942028982</v>
      </c>
      <c r="D7">
        <v>380.6</v>
      </c>
      <c r="E7">
        <v>380.79166666666669</v>
      </c>
      <c r="F7">
        <f>_xlfn.STDEV.S(D$2:D7)</f>
        <v>1.8879662779474318</v>
      </c>
      <c r="I7">
        <f t="shared" si="0"/>
        <v>379.28100677527289</v>
      </c>
      <c r="J7">
        <f t="shared" si="1"/>
        <v>382.30232655806049</v>
      </c>
    </row>
    <row r="8" spans="1:13" x14ac:dyDescent="0.2">
      <c r="A8">
        <v>7</v>
      </c>
      <c r="B8">
        <v>381</v>
      </c>
      <c r="C8">
        <v>380.72670807453409</v>
      </c>
      <c r="D8">
        <v>379.55</v>
      </c>
      <c r="E8">
        <v>380.61428571428581</v>
      </c>
      <c r="F8">
        <f>_xlfn.STDEV.S(D$2:D8)</f>
        <v>1.7862237368524836</v>
      </c>
      <c r="I8">
        <f t="shared" si="0"/>
        <v>379.29105696715436</v>
      </c>
      <c r="J8">
        <f t="shared" si="1"/>
        <v>381.93751446141727</v>
      </c>
    </row>
    <row r="9" spans="1:13" x14ac:dyDescent="0.2">
      <c r="A9">
        <v>8</v>
      </c>
      <c r="B9">
        <v>377.17391304347831</v>
      </c>
      <c r="C9">
        <v>380.28260869565219</v>
      </c>
      <c r="D9">
        <v>375.75</v>
      </c>
      <c r="E9">
        <v>380.00625000000002</v>
      </c>
      <c r="F9">
        <f>_xlfn.STDEV.S(D$2:D9)</f>
        <v>2.3858867024950894</v>
      </c>
      <c r="I9">
        <f>E9-(NORMINV(0.975,0,1)*F9/SQRT(A9))</f>
        <v>378.35294524727351</v>
      </c>
      <c r="J9">
        <f t="shared" si="1"/>
        <v>381.65955475272654</v>
      </c>
    </row>
    <row r="10" spans="1:13" x14ac:dyDescent="0.2">
      <c r="A10">
        <v>9</v>
      </c>
      <c r="B10">
        <v>377.73913043478262</v>
      </c>
      <c r="C10">
        <v>380</v>
      </c>
      <c r="D10">
        <v>377.55</v>
      </c>
      <c r="E10">
        <v>379.73333333333329</v>
      </c>
      <c r="F10">
        <f>_xlfn.STDEV.S(D$2:D10)</f>
        <v>2.3772357897356402</v>
      </c>
      <c r="I10">
        <f t="shared" si="0"/>
        <v>378.18023448978613</v>
      </c>
      <c r="J10">
        <f t="shared" si="1"/>
        <v>381.28643217688045</v>
      </c>
    </row>
    <row r="11" spans="1:13" x14ac:dyDescent="0.2">
      <c r="A11">
        <v>10</v>
      </c>
      <c r="B11">
        <v>388.47826086956519</v>
      </c>
      <c r="C11">
        <v>380.8478260869565</v>
      </c>
      <c r="D11">
        <v>389</v>
      </c>
      <c r="E11">
        <v>380.66</v>
      </c>
      <c r="F11">
        <f>_xlfn.STDEV.S(D$2:D11)</f>
        <v>3.6892335849664555</v>
      </c>
      <c r="I11">
        <f t="shared" si="0"/>
        <v>378.37343135102668</v>
      </c>
      <c r="J11">
        <f t="shared" si="1"/>
        <v>382.94656864897337</v>
      </c>
    </row>
    <row r="12" spans="1:13" x14ac:dyDescent="0.2">
      <c r="A12">
        <v>11</v>
      </c>
      <c r="B12">
        <v>382.56521739130437</v>
      </c>
      <c r="C12">
        <v>381.00395256917</v>
      </c>
      <c r="D12">
        <v>380.85</v>
      </c>
      <c r="E12">
        <v>380.67727272727268</v>
      </c>
      <c r="F12">
        <f>_xlfn.STDEV.S(D$2:D12)</f>
        <v>3.5003830959170479</v>
      </c>
      <c r="I12">
        <f t="shared" si="0"/>
        <v>378.60871651915392</v>
      </c>
      <c r="J12">
        <f t="shared" si="1"/>
        <v>382.74582893539144</v>
      </c>
    </row>
    <row r="13" spans="1:13" x14ac:dyDescent="0.2">
      <c r="A13">
        <v>12</v>
      </c>
      <c r="B13">
        <v>388.30434782608688</v>
      </c>
      <c r="C13">
        <v>381.61231884057969</v>
      </c>
      <c r="D13">
        <v>388.25</v>
      </c>
      <c r="E13">
        <v>381.30833333333328</v>
      </c>
      <c r="F13">
        <f>_xlfn.STDEV.S(D$2:D13)</f>
        <v>3.9896931605264454</v>
      </c>
      <c r="I13">
        <f t="shared" si="0"/>
        <v>379.05099340143676</v>
      </c>
      <c r="J13">
        <f t="shared" si="1"/>
        <v>383.5656732652298</v>
      </c>
    </row>
    <row r="14" spans="1:13" x14ac:dyDescent="0.2">
      <c r="A14">
        <v>13</v>
      </c>
      <c r="B14">
        <v>381</v>
      </c>
      <c r="C14">
        <v>381.56521739130432</v>
      </c>
      <c r="D14">
        <v>378.9</v>
      </c>
      <c r="E14">
        <v>381.12307692307701</v>
      </c>
      <c r="F14">
        <f>_xlfn.STDEV.S(D$2:D14)</f>
        <v>3.877800890142471</v>
      </c>
      <c r="I14">
        <f t="shared" si="0"/>
        <v>379.01511908161808</v>
      </c>
      <c r="J14">
        <f t="shared" si="1"/>
        <v>383.23103476453593</v>
      </c>
    </row>
    <row r="15" spans="1:13" x14ac:dyDescent="0.2">
      <c r="A15">
        <v>14</v>
      </c>
      <c r="B15">
        <v>386.91304347826087</v>
      </c>
      <c r="C15">
        <v>381.94720496894399</v>
      </c>
      <c r="D15">
        <v>386.9</v>
      </c>
      <c r="E15">
        <v>381.53571428571428</v>
      </c>
      <c r="F15">
        <f>_xlfn.STDEV.S(D$2:D15)</f>
        <v>4.0329140338464411</v>
      </c>
      <c r="I15">
        <f t="shared" si="0"/>
        <v>379.42318354278052</v>
      </c>
      <c r="J15">
        <f t="shared" si="1"/>
        <v>383.64824502864803</v>
      </c>
    </row>
    <row r="16" spans="1:13" x14ac:dyDescent="0.2">
      <c r="A16">
        <v>15</v>
      </c>
      <c r="B16">
        <v>382.26086956521738</v>
      </c>
      <c r="C16">
        <v>381.96811594202899</v>
      </c>
      <c r="D16">
        <v>384.6</v>
      </c>
      <c r="E16">
        <v>381.74</v>
      </c>
      <c r="F16">
        <f>_xlfn.STDEV.S(D$2:D16)</f>
        <v>3.9659353067268803</v>
      </c>
      <c r="I16">
        <f t="shared" si="0"/>
        <v>379.73299669754266</v>
      </c>
      <c r="J16">
        <f t="shared" si="1"/>
        <v>383.74700330245736</v>
      </c>
    </row>
    <row r="17" spans="1:10" x14ac:dyDescent="0.2">
      <c r="A17">
        <v>16</v>
      </c>
      <c r="B17">
        <v>380.6521739130435</v>
      </c>
      <c r="C17">
        <v>381.88586956521738</v>
      </c>
      <c r="D17">
        <v>381.55</v>
      </c>
      <c r="E17">
        <v>381.72812499999998</v>
      </c>
      <c r="F17">
        <f>_xlfn.STDEV.S(D$2:D17)</f>
        <v>3.8317519383001093</v>
      </c>
      <c r="I17">
        <f t="shared" si="0"/>
        <v>379.85060105081004</v>
      </c>
      <c r="J17">
        <f t="shared" si="1"/>
        <v>383.60564894918991</v>
      </c>
    </row>
    <row r="18" spans="1:10" x14ac:dyDescent="0.2">
      <c r="A18">
        <v>17</v>
      </c>
      <c r="B18">
        <v>384.47826086956519</v>
      </c>
      <c r="C18">
        <v>382.03836317135551</v>
      </c>
      <c r="D18">
        <v>384.15</v>
      </c>
      <c r="E18">
        <v>381.87058823529412</v>
      </c>
      <c r="F18">
        <f>_xlfn.STDEV.S(D$2:D18)</f>
        <v>3.7562888443719165</v>
      </c>
      <c r="I18">
        <f t="shared" si="0"/>
        <v>380.08499467573171</v>
      </c>
      <c r="J18">
        <f t="shared" si="1"/>
        <v>383.65618179485654</v>
      </c>
    </row>
    <row r="19" spans="1:10" x14ac:dyDescent="0.2">
      <c r="A19">
        <v>18</v>
      </c>
      <c r="B19">
        <v>383</v>
      </c>
      <c r="C19">
        <v>382.09178743961348</v>
      </c>
      <c r="D19">
        <v>382.8</v>
      </c>
      <c r="E19">
        <v>381.92222222222222</v>
      </c>
      <c r="F19">
        <f>_xlfn.STDEV.S(D$2:D19)</f>
        <v>3.6507139600769358</v>
      </c>
      <c r="I19">
        <f t="shared" si="0"/>
        <v>380.23570940926311</v>
      </c>
      <c r="J19">
        <f t="shared" si="1"/>
        <v>383.60873503518133</v>
      </c>
    </row>
    <row r="20" spans="1:10" x14ac:dyDescent="0.2">
      <c r="A20">
        <v>19</v>
      </c>
      <c r="B20">
        <v>386</v>
      </c>
      <c r="C20">
        <v>382.29748283752861</v>
      </c>
      <c r="D20">
        <v>386.8</v>
      </c>
      <c r="E20">
        <v>382.17894736842112</v>
      </c>
      <c r="F20">
        <f>_xlfn.STDEV.S(D$2:D20)</f>
        <v>3.7201521694337538</v>
      </c>
      <c r="I20">
        <f t="shared" si="0"/>
        <v>380.50619368370826</v>
      </c>
      <c r="J20">
        <f t="shared" si="1"/>
        <v>383.85170105313398</v>
      </c>
    </row>
    <row r="21" spans="1:10" x14ac:dyDescent="0.2">
      <c r="A21">
        <v>20</v>
      </c>
      <c r="B21">
        <v>388.30434782608688</v>
      </c>
      <c r="C21">
        <v>382.5978260869565</v>
      </c>
      <c r="D21">
        <v>386</v>
      </c>
      <c r="E21">
        <v>382.37</v>
      </c>
      <c r="F21">
        <f>_xlfn.STDEV.S(D$2:D21)</f>
        <v>3.7203706663095839</v>
      </c>
      <c r="I21">
        <f t="shared" si="0"/>
        <v>380.73950562583985</v>
      </c>
      <c r="J21">
        <f t="shared" si="1"/>
        <v>384.00049437416016</v>
      </c>
    </row>
    <row r="22" spans="1:10" x14ac:dyDescent="0.2">
      <c r="A22">
        <v>21</v>
      </c>
      <c r="B22">
        <v>383.86956521739131</v>
      </c>
      <c r="C22">
        <v>382.65838509316768</v>
      </c>
      <c r="D22">
        <v>385.25</v>
      </c>
      <c r="E22">
        <v>382.50714285714292</v>
      </c>
      <c r="F22">
        <f>_xlfn.STDEV.S(D$2:D22)</f>
        <v>3.6802270892665581</v>
      </c>
      <c r="I22">
        <f t="shared" si="0"/>
        <v>380.9331126544709</v>
      </c>
      <c r="J22">
        <f t="shared" si="1"/>
        <v>384.08117305981494</v>
      </c>
    </row>
    <row r="23" spans="1:10" x14ac:dyDescent="0.2">
      <c r="A23">
        <v>22</v>
      </c>
      <c r="B23">
        <v>376.86956521739131</v>
      </c>
      <c r="C23">
        <v>382.395256916996</v>
      </c>
      <c r="D23">
        <v>380.4</v>
      </c>
      <c r="E23">
        <v>382.4113636363636</v>
      </c>
      <c r="F23">
        <f>_xlfn.STDEV.S(D$2:D23)</f>
        <v>3.6195215356709962</v>
      </c>
      <c r="I23">
        <f t="shared" si="0"/>
        <v>380.89888964377042</v>
      </c>
      <c r="J23">
        <f t="shared" si="1"/>
        <v>383.92383762895679</v>
      </c>
    </row>
    <row r="24" spans="1:10" x14ac:dyDescent="0.2">
      <c r="A24">
        <v>23</v>
      </c>
      <c r="B24">
        <v>383.3478260869565</v>
      </c>
      <c r="C24">
        <v>382.4366729678639</v>
      </c>
      <c r="D24">
        <v>385.7</v>
      </c>
      <c r="E24">
        <v>382.55434782608688</v>
      </c>
      <c r="F24">
        <f>_xlfn.STDEV.S(D$2:D24)</f>
        <v>3.6021746286564102</v>
      </c>
      <c r="I24">
        <f t="shared" si="0"/>
        <v>381.0822084267208</v>
      </c>
      <c r="J24">
        <f t="shared" si="1"/>
        <v>384.02648722545297</v>
      </c>
    </row>
    <row r="25" spans="1:10" x14ac:dyDescent="0.2">
      <c r="A25">
        <v>24</v>
      </c>
      <c r="B25">
        <v>383.86956521739131</v>
      </c>
      <c r="C25">
        <v>382.49637681159419</v>
      </c>
      <c r="D25">
        <v>381.05</v>
      </c>
      <c r="E25">
        <v>382.49166666666662</v>
      </c>
      <c r="F25">
        <f>_xlfn.STDEV.S(D$2:D25)</f>
        <v>3.5363536448507604</v>
      </c>
      <c r="I25">
        <f t="shared" si="0"/>
        <v>381.07685654122616</v>
      </c>
      <c r="J25">
        <f t="shared" si="1"/>
        <v>383.90647679210707</v>
      </c>
    </row>
    <row r="26" spans="1:10" x14ac:dyDescent="0.2">
      <c r="A26">
        <v>25</v>
      </c>
      <c r="B26">
        <v>378.86956521739131</v>
      </c>
      <c r="C26">
        <v>382.3513043478261</v>
      </c>
      <c r="D26">
        <v>380.3</v>
      </c>
      <c r="E26">
        <v>382.404</v>
      </c>
      <c r="F26">
        <f>_xlfn.STDEV.S(D$2:D26)</f>
        <v>3.4895355469364842</v>
      </c>
      <c r="I26">
        <f t="shared" si="0"/>
        <v>381.03612720104644</v>
      </c>
      <c r="J26">
        <f t="shared" si="1"/>
        <v>383.77187279895355</v>
      </c>
    </row>
    <row r="27" spans="1:10" x14ac:dyDescent="0.2">
      <c r="A27">
        <v>26</v>
      </c>
      <c r="B27">
        <v>385.60869565217388</v>
      </c>
      <c r="C27">
        <v>382.47658862876261</v>
      </c>
      <c r="D27">
        <v>387.9</v>
      </c>
      <c r="E27">
        <v>382.61538461538458</v>
      </c>
      <c r="F27">
        <f>_xlfn.STDEV.S(D$2:D27)</f>
        <v>3.5849063929416363</v>
      </c>
      <c r="I27">
        <f t="shared" si="0"/>
        <v>381.2374162825742</v>
      </c>
      <c r="J27">
        <f t="shared" si="1"/>
        <v>383.99335294819497</v>
      </c>
    </row>
    <row r="28" spans="1:10" x14ac:dyDescent="0.2">
      <c r="A28">
        <v>27</v>
      </c>
      <c r="B28">
        <v>385.13043478260869</v>
      </c>
      <c r="C28">
        <v>382.57487922705309</v>
      </c>
      <c r="D28">
        <v>384.7</v>
      </c>
      <c r="E28">
        <v>382.69259259259258</v>
      </c>
      <c r="F28">
        <f>_xlfn.STDEV.S(D$2:D28)</f>
        <v>3.5381085696615098</v>
      </c>
      <c r="I28">
        <f t="shared" si="0"/>
        <v>381.35803486491204</v>
      </c>
      <c r="J28">
        <f t="shared" si="1"/>
        <v>384.02715032027311</v>
      </c>
    </row>
    <row r="29" spans="1:10" x14ac:dyDescent="0.2">
      <c r="A29">
        <v>28</v>
      </c>
      <c r="B29">
        <v>377.95652173913038</v>
      </c>
      <c r="C29">
        <v>382.40993788819878</v>
      </c>
      <c r="D29">
        <v>378.8</v>
      </c>
      <c r="E29">
        <v>382.55357142857139</v>
      </c>
      <c r="F29">
        <f>_xlfn.STDEV.S(D$2:D29)</f>
        <v>3.5490460004383539</v>
      </c>
      <c r="I29">
        <f t="shared" si="0"/>
        <v>381.23901054916354</v>
      </c>
      <c r="J29">
        <f t="shared" si="1"/>
        <v>383.86813230797924</v>
      </c>
    </row>
    <row r="30" spans="1:10" x14ac:dyDescent="0.2">
      <c r="A30">
        <v>29</v>
      </c>
      <c r="B30">
        <v>387.52173913043481</v>
      </c>
      <c r="C30">
        <v>382.58620689655169</v>
      </c>
      <c r="D30">
        <v>390.9</v>
      </c>
      <c r="E30">
        <v>382.84137931034479</v>
      </c>
      <c r="F30">
        <f>_xlfn.STDEV.S(D$2:D30)</f>
        <v>3.8141903504618906</v>
      </c>
      <c r="I30">
        <f t="shared" si="0"/>
        <v>381.45318117995862</v>
      </c>
      <c r="J30">
        <f t="shared" si="1"/>
        <v>384.22957744073096</v>
      </c>
    </row>
    <row r="31" spans="1:10" x14ac:dyDescent="0.2">
      <c r="A31">
        <v>30</v>
      </c>
      <c r="B31">
        <v>381.21739130434781</v>
      </c>
      <c r="C31">
        <v>382.54057971014493</v>
      </c>
      <c r="D31">
        <v>377.85</v>
      </c>
      <c r="E31">
        <v>382.67500000000001</v>
      </c>
      <c r="F31">
        <f>_xlfn.STDEV.S(D$2:D31)</f>
        <v>3.8570524300657114</v>
      </c>
      <c r="I31">
        <f t="shared" si="0"/>
        <v>381.29479687602327</v>
      </c>
      <c r="J31">
        <f t="shared" si="1"/>
        <v>384.05520312397675</v>
      </c>
    </row>
    <row r="32" spans="1:10" x14ac:dyDescent="0.2">
      <c r="A32">
        <v>31</v>
      </c>
      <c r="B32">
        <v>379.56521739130437</v>
      </c>
      <c r="C32">
        <v>382.44460028050491</v>
      </c>
      <c r="D32">
        <v>378.2</v>
      </c>
      <c r="E32">
        <v>382.53064516129041</v>
      </c>
      <c r="F32">
        <f>_xlfn.STDEV.S(D$2:D32)</f>
        <v>3.8764605294726131</v>
      </c>
      <c r="I32">
        <f t="shared" si="0"/>
        <v>381.16605382262327</v>
      </c>
      <c r="J32">
        <f t="shared" si="1"/>
        <v>383.89523649995755</v>
      </c>
    </row>
    <row r="33" spans="1:10" x14ac:dyDescent="0.2">
      <c r="A33">
        <v>32</v>
      </c>
      <c r="B33">
        <v>381.39130434782612</v>
      </c>
      <c r="C33">
        <v>382.41168478260869</v>
      </c>
      <c r="D33">
        <v>386.15</v>
      </c>
      <c r="E33">
        <v>382.64375000000001</v>
      </c>
      <c r="F33">
        <f>_xlfn.STDEV.S(D$2:D33)</f>
        <v>3.8667263389907891</v>
      </c>
      <c r="I33">
        <f t="shared" si="0"/>
        <v>381.30402229476977</v>
      </c>
      <c r="J33">
        <f t="shared" si="1"/>
        <v>383.98347770523026</v>
      </c>
    </row>
    <row r="34" spans="1:10" x14ac:dyDescent="0.2">
      <c r="A34">
        <v>33</v>
      </c>
      <c r="B34">
        <v>383.17391304347831</v>
      </c>
      <c r="C34">
        <v>382.43478260869563</v>
      </c>
      <c r="D34">
        <v>381.95</v>
      </c>
      <c r="E34">
        <v>382.62272727272727</v>
      </c>
      <c r="F34">
        <f>_xlfn.STDEV.S(D$2:D34)</f>
        <v>3.8077447990307078</v>
      </c>
      <c r="I34">
        <f t="shared" si="0"/>
        <v>381.32357829871137</v>
      </c>
      <c r="J34">
        <f t="shared" si="1"/>
        <v>383.92187624674318</v>
      </c>
    </row>
    <row r="35" spans="1:10" x14ac:dyDescent="0.2">
      <c r="A35">
        <v>34</v>
      </c>
      <c r="B35">
        <v>387.21739130434781</v>
      </c>
      <c r="C35">
        <v>382.57544757033253</v>
      </c>
      <c r="D35">
        <v>388.45</v>
      </c>
      <c r="E35">
        <v>382.79411764705878</v>
      </c>
      <c r="F35">
        <f>_xlfn.STDEV.S(D$2:D35)</f>
        <v>3.8805022461930614</v>
      </c>
      <c r="I35">
        <f t="shared" si="0"/>
        <v>381.4897603514363</v>
      </c>
      <c r="J35">
        <f t="shared" si="1"/>
        <v>384.09847494268126</v>
      </c>
    </row>
    <row r="36" spans="1:10" x14ac:dyDescent="0.2">
      <c r="A36">
        <v>35</v>
      </c>
      <c r="B36">
        <v>380.78260869565219</v>
      </c>
      <c r="C36">
        <v>382.52422360248448</v>
      </c>
      <c r="D36">
        <v>385.1</v>
      </c>
      <c r="E36">
        <v>382.86</v>
      </c>
      <c r="F36">
        <f>_xlfn.STDEV.S(D$2:D36)</f>
        <v>3.8428275435428683</v>
      </c>
      <c r="I36">
        <f t="shared" si="0"/>
        <v>381.58689283101648</v>
      </c>
      <c r="J36">
        <f t="shared" si="1"/>
        <v>384.13310716898354</v>
      </c>
    </row>
    <row r="37" spans="1:10" x14ac:dyDescent="0.2">
      <c r="A37">
        <v>36</v>
      </c>
      <c r="B37">
        <v>383.60869565217388</v>
      </c>
      <c r="C37">
        <v>382.55434782608688</v>
      </c>
      <c r="D37">
        <v>380.3</v>
      </c>
      <c r="E37">
        <v>382.78888888888889</v>
      </c>
      <c r="F37">
        <f>_xlfn.STDEV.S(D$2:D37)</f>
        <v>3.8114884814786456</v>
      </c>
      <c r="I37">
        <f t="shared" si="0"/>
        <v>381.54382553035765</v>
      </c>
      <c r="J37">
        <f t="shared" si="1"/>
        <v>384.03395224742013</v>
      </c>
    </row>
    <row r="38" spans="1:10" x14ac:dyDescent="0.2">
      <c r="A38">
        <v>37</v>
      </c>
      <c r="B38">
        <v>385.39130434782612</v>
      </c>
      <c r="C38">
        <v>382.6310223266745</v>
      </c>
      <c r="D38">
        <v>386.65</v>
      </c>
      <c r="E38">
        <v>382.89324324324321</v>
      </c>
      <c r="F38">
        <f>_xlfn.STDEV.S(D$2:D38)</f>
        <v>3.8114076242351755</v>
      </c>
      <c r="I38">
        <f t="shared" si="0"/>
        <v>381.66514636510715</v>
      </c>
      <c r="J38">
        <f t="shared" si="1"/>
        <v>384.12134012137926</v>
      </c>
    </row>
    <row r="39" spans="1:10" x14ac:dyDescent="0.2">
      <c r="A39">
        <v>38</v>
      </c>
      <c r="B39">
        <v>378.6521739130435</v>
      </c>
      <c r="C39">
        <v>382.5263157894737</v>
      </c>
      <c r="D39">
        <v>376.85</v>
      </c>
      <c r="E39">
        <v>382.73421052631579</v>
      </c>
      <c r="F39">
        <f>_xlfn.STDEV.S(D$2:D39)</f>
        <v>3.8852650482330384</v>
      </c>
      <c r="I39">
        <f t="shared" si="0"/>
        <v>381.49889771941127</v>
      </c>
      <c r="J39">
        <f t="shared" si="1"/>
        <v>383.96952333322031</v>
      </c>
    </row>
    <row r="40" spans="1:10" x14ac:dyDescent="0.2">
      <c r="A40">
        <v>39</v>
      </c>
      <c r="B40">
        <v>381.95652173913038</v>
      </c>
      <c r="C40">
        <v>382.51170568561872</v>
      </c>
      <c r="D40">
        <v>379.8</v>
      </c>
      <c r="E40">
        <v>382.65897435897438</v>
      </c>
      <c r="F40">
        <f>_xlfn.STDEV.S(D$2:D40)</f>
        <v>3.8624861061727866</v>
      </c>
      <c r="I40">
        <f t="shared" si="0"/>
        <v>381.44675080648858</v>
      </c>
      <c r="J40">
        <f t="shared" si="1"/>
        <v>383.87119791146017</v>
      </c>
    </row>
    <row r="41" spans="1:10" x14ac:dyDescent="0.2">
      <c r="A41">
        <v>40</v>
      </c>
      <c r="B41">
        <v>382.52173913043481</v>
      </c>
      <c r="C41">
        <v>382.51195652173908</v>
      </c>
      <c r="D41">
        <v>380.2</v>
      </c>
      <c r="E41">
        <v>382.59750000000003</v>
      </c>
      <c r="F41">
        <f>_xlfn.STDEV.S(D$2:D41)</f>
        <v>3.8324182296794587</v>
      </c>
      <c r="I41">
        <f t="shared" si="0"/>
        <v>381.40984310976563</v>
      </c>
      <c r="J41">
        <f t="shared" si="1"/>
        <v>383.78515689023442</v>
      </c>
    </row>
    <row r="42" spans="1:10" x14ac:dyDescent="0.2">
      <c r="A42">
        <v>41</v>
      </c>
      <c r="B42">
        <v>378.21739130434781</v>
      </c>
      <c r="C42">
        <v>382.40721102863199</v>
      </c>
      <c r="D42">
        <v>377</v>
      </c>
      <c r="E42">
        <v>382.46097560975608</v>
      </c>
      <c r="F42">
        <f>_xlfn.STDEV.S(D$2:D42)</f>
        <v>3.8838690792031332</v>
      </c>
      <c r="I42">
        <f t="shared" si="0"/>
        <v>381.27214290346473</v>
      </c>
      <c r="J42">
        <f t="shared" si="1"/>
        <v>383.64980831604743</v>
      </c>
    </row>
    <row r="43" spans="1:10" x14ac:dyDescent="0.2">
      <c r="A43">
        <v>42</v>
      </c>
      <c r="B43">
        <v>376.73913043478262</v>
      </c>
      <c r="C43">
        <v>382.27225672877847</v>
      </c>
      <c r="D43">
        <v>375.75</v>
      </c>
      <c r="E43">
        <v>382.30119047619053</v>
      </c>
      <c r="F43">
        <f>_xlfn.STDEV.S(D$2:D43)</f>
        <v>3.9735173350086632</v>
      </c>
      <c r="I43">
        <f t="shared" si="0"/>
        <v>381.09948356783116</v>
      </c>
      <c r="J43">
        <f t="shared" si="1"/>
        <v>383.5028973845499</v>
      </c>
    </row>
    <row r="44" spans="1:10" x14ac:dyDescent="0.2">
      <c r="A44">
        <v>43</v>
      </c>
      <c r="B44">
        <v>375.13043478260869</v>
      </c>
      <c r="C44">
        <v>382.1061678463094</v>
      </c>
      <c r="D44">
        <v>376.65</v>
      </c>
      <c r="E44">
        <v>382.16976744186047</v>
      </c>
      <c r="F44">
        <f>_xlfn.STDEV.S(D$2:D44)</f>
        <v>4.0194044147598378</v>
      </c>
      <c r="I44">
        <f t="shared" si="0"/>
        <v>380.96840080105477</v>
      </c>
      <c r="J44">
        <f t="shared" si="1"/>
        <v>383.37113408266617</v>
      </c>
    </row>
    <row r="45" spans="1:10" x14ac:dyDescent="0.2">
      <c r="A45">
        <v>44</v>
      </c>
      <c r="B45">
        <v>379.6521739130435</v>
      </c>
      <c r="C45">
        <v>382.050395256917</v>
      </c>
      <c r="D45">
        <v>381.9</v>
      </c>
      <c r="E45">
        <v>382.16363636363639</v>
      </c>
      <c r="F45">
        <f>_xlfn.STDEV.S(D$2:D45)</f>
        <v>3.9726003966174384</v>
      </c>
      <c r="I45">
        <f t="shared" si="0"/>
        <v>380.98982952769558</v>
      </c>
      <c r="J45">
        <f t="shared" si="1"/>
        <v>383.33744319957719</v>
      </c>
    </row>
    <row r="46" spans="1:10" x14ac:dyDescent="0.2">
      <c r="A46">
        <v>45</v>
      </c>
      <c r="B46">
        <v>381.30434782608688</v>
      </c>
      <c r="C46">
        <v>382.03381642512079</v>
      </c>
      <c r="D46">
        <v>378.5</v>
      </c>
      <c r="E46">
        <v>382.08222222222219</v>
      </c>
      <c r="F46">
        <f>_xlfn.STDEV.S(D$2:D46)</f>
        <v>3.9649910517432447</v>
      </c>
      <c r="I46">
        <f t="shared" si="0"/>
        <v>380.9237542122097</v>
      </c>
      <c r="J46">
        <f t="shared" si="1"/>
        <v>383.24069023223467</v>
      </c>
    </row>
    <row r="47" spans="1:10" x14ac:dyDescent="0.2">
      <c r="A47">
        <v>46</v>
      </c>
      <c r="B47">
        <v>384.21739130434781</v>
      </c>
      <c r="C47">
        <v>382.08128544423442</v>
      </c>
      <c r="D47">
        <v>386.3</v>
      </c>
      <c r="E47">
        <v>382.17391304347831</v>
      </c>
      <c r="F47">
        <f>_xlfn.STDEV.S(D$2:D47)</f>
        <v>3.9697010680967244</v>
      </c>
      <c r="I47">
        <f t="shared" si="0"/>
        <v>381.02674516131719</v>
      </c>
      <c r="J47">
        <f t="shared" si="1"/>
        <v>383.32108092563942</v>
      </c>
    </row>
    <row r="48" spans="1:10" x14ac:dyDescent="0.2">
      <c r="A48">
        <v>47</v>
      </c>
      <c r="B48">
        <v>383.17391304347831</v>
      </c>
      <c r="C48">
        <v>382.10453283996299</v>
      </c>
      <c r="D48">
        <v>381.85</v>
      </c>
      <c r="E48">
        <v>382.16702127659568</v>
      </c>
      <c r="F48">
        <f>_xlfn.STDEV.S(D$2:D48)</f>
        <v>3.9265993223994546</v>
      </c>
      <c r="I48">
        <f t="shared" si="0"/>
        <v>381.04444528608821</v>
      </c>
      <c r="J48">
        <f t="shared" si="1"/>
        <v>383.28959726710315</v>
      </c>
    </row>
    <row r="49" spans="1:10" x14ac:dyDescent="0.2">
      <c r="A49">
        <v>48</v>
      </c>
      <c r="B49">
        <v>376.43478260869563</v>
      </c>
      <c r="C49">
        <v>381.98641304347831</v>
      </c>
      <c r="D49">
        <v>379.9</v>
      </c>
      <c r="E49">
        <v>382.11979166666669</v>
      </c>
      <c r="F49">
        <f>_xlfn.STDEV.S(D$2:D49)</f>
        <v>3.8983594419515049</v>
      </c>
      <c r="I49">
        <f t="shared" si="0"/>
        <v>381.01695968396331</v>
      </c>
      <c r="J49">
        <f t="shared" si="1"/>
        <v>383.22262364937006</v>
      </c>
    </row>
    <row r="50" spans="1:10" x14ac:dyDescent="0.2">
      <c r="A50">
        <v>49</v>
      </c>
      <c r="B50">
        <v>375.82608695652169</v>
      </c>
      <c r="C50">
        <v>381.86069210292823</v>
      </c>
      <c r="D50">
        <v>375.15</v>
      </c>
      <c r="E50">
        <v>381.97755102040821</v>
      </c>
      <c r="F50">
        <f>_xlfn.STDEV.S(D$2:D50)</f>
        <v>3.9839660571116386</v>
      </c>
      <c r="I50">
        <f t="shared" si="0"/>
        <v>380.86206102218409</v>
      </c>
      <c r="J50">
        <f t="shared" si="1"/>
        <v>383.09304101863233</v>
      </c>
    </row>
    <row r="51" spans="1:10" x14ac:dyDescent="0.2">
      <c r="A51">
        <v>50</v>
      </c>
      <c r="B51">
        <v>374.95652173913038</v>
      </c>
      <c r="C51">
        <v>381.72260869565218</v>
      </c>
      <c r="D51">
        <v>377.8</v>
      </c>
      <c r="E51">
        <v>381.89400000000001</v>
      </c>
      <c r="F51">
        <f>_xlfn.STDEV.S(D$2:D51)</f>
        <v>3.9871175205214291</v>
      </c>
      <c r="I51">
        <f t="shared" si="0"/>
        <v>380.78884771603555</v>
      </c>
      <c r="J51">
        <f t="shared" si="1"/>
        <v>382.99915228396446</v>
      </c>
    </row>
    <row r="52" spans="1:10" x14ac:dyDescent="0.2">
      <c r="A52">
        <v>51</v>
      </c>
      <c r="B52">
        <v>382.08695652173913</v>
      </c>
      <c r="C52">
        <v>381.72975277067349</v>
      </c>
      <c r="D52">
        <v>381.35</v>
      </c>
      <c r="E52">
        <v>381.88333333333333</v>
      </c>
      <c r="F52">
        <f>_xlfn.STDEV.S(D$2:D52)</f>
        <v>3.9477799668505642</v>
      </c>
      <c r="I52">
        <f t="shared" si="0"/>
        <v>380.79986570058486</v>
      </c>
      <c r="J52">
        <f t="shared" si="1"/>
        <v>382.96680096608179</v>
      </c>
    </row>
    <row r="53" spans="1:10" x14ac:dyDescent="0.2">
      <c r="A53">
        <v>52</v>
      </c>
      <c r="B53">
        <v>383.52173913043481</v>
      </c>
      <c r="C53">
        <v>381.76421404682281</v>
      </c>
      <c r="D53">
        <v>384.75</v>
      </c>
      <c r="E53">
        <v>381.93846153846152</v>
      </c>
      <c r="F53">
        <f>_xlfn.STDEV.S(D$2:D53)</f>
        <v>3.9290473747463874</v>
      </c>
      <c r="I53">
        <f t="shared" si="0"/>
        <v>380.87055392049768</v>
      </c>
      <c r="J53">
        <f t="shared" si="1"/>
        <v>383.00636915642536</v>
      </c>
    </row>
    <row r="54" spans="1:10" x14ac:dyDescent="0.2">
      <c r="A54">
        <v>53</v>
      </c>
      <c r="B54">
        <v>380.52173913043481</v>
      </c>
      <c r="C54">
        <v>381.74077112387198</v>
      </c>
      <c r="D54">
        <v>380.6</v>
      </c>
      <c r="E54">
        <v>381.91320754716992</v>
      </c>
      <c r="F54">
        <f>_xlfn.STDEV.S(D$2:D54)</f>
        <v>3.8954257067572211</v>
      </c>
      <c r="I54">
        <f t="shared" si="0"/>
        <v>380.86447418932079</v>
      </c>
      <c r="J54">
        <f t="shared" si="1"/>
        <v>382.96194090501905</v>
      </c>
    </row>
    <row r="55" spans="1:10" x14ac:dyDescent="0.2">
      <c r="A55">
        <v>54</v>
      </c>
      <c r="B55">
        <v>386.82608695652169</v>
      </c>
      <c r="C55">
        <v>381.83494363929151</v>
      </c>
      <c r="D55">
        <v>386.7</v>
      </c>
      <c r="E55">
        <v>382.00185185185182</v>
      </c>
      <c r="F55">
        <f>_xlfn.STDEV.S(D$2:D55)</f>
        <v>3.9131004327139247</v>
      </c>
      <c r="I55">
        <f t="shared" si="0"/>
        <v>380.95816020973143</v>
      </c>
      <c r="J55">
        <f t="shared" si="1"/>
        <v>383.04554349397222</v>
      </c>
    </row>
    <row r="56" spans="1:10" x14ac:dyDescent="0.2">
      <c r="A56">
        <v>55</v>
      </c>
      <c r="B56">
        <v>387.52173913043481</v>
      </c>
      <c r="C56">
        <v>381.93833992094858</v>
      </c>
      <c r="D56">
        <v>386.25</v>
      </c>
      <c r="E56">
        <v>382.07909090909089</v>
      </c>
      <c r="F56">
        <f>_xlfn.STDEV.S(D$2:D56)</f>
        <v>3.9187900970727929</v>
      </c>
      <c r="I56">
        <f t="shared" si="0"/>
        <v>381.04342722417209</v>
      </c>
      <c r="J56">
        <f t="shared" si="1"/>
        <v>383.1147545940097</v>
      </c>
    </row>
    <row r="57" spans="1:10" x14ac:dyDescent="0.2">
      <c r="A57">
        <v>56</v>
      </c>
      <c r="B57">
        <v>384.69565217391312</v>
      </c>
      <c r="C57">
        <v>381.98757763975158</v>
      </c>
      <c r="D57">
        <v>387.3</v>
      </c>
      <c r="E57">
        <v>382.17232142857148</v>
      </c>
      <c r="F57">
        <f>_xlfn.STDEV.S(D$2:D57)</f>
        <v>3.9451802544699675</v>
      </c>
      <c r="I57">
        <f t="shared" si="0"/>
        <v>381.13903451691942</v>
      </c>
      <c r="J57">
        <f t="shared" si="1"/>
        <v>383.20560834022353</v>
      </c>
    </row>
    <row r="58" spans="1:10" x14ac:dyDescent="0.2">
      <c r="A58">
        <v>57</v>
      </c>
      <c r="B58">
        <v>382.08695652173913</v>
      </c>
      <c r="C58">
        <v>381.98932112890918</v>
      </c>
      <c r="D58">
        <v>380.95</v>
      </c>
      <c r="E58">
        <v>382.15087719298242</v>
      </c>
      <c r="F58">
        <f>_xlfn.STDEV.S(D$2:D58)</f>
        <v>3.9131473817219895</v>
      </c>
      <c r="I58">
        <f t="shared" si="0"/>
        <v>381.13501015640981</v>
      </c>
      <c r="J58">
        <f t="shared" si="1"/>
        <v>383.16674422955504</v>
      </c>
    </row>
    <row r="59" spans="1:10" x14ac:dyDescent="0.2">
      <c r="A59">
        <v>58</v>
      </c>
      <c r="B59">
        <v>384.39130434782612</v>
      </c>
      <c r="C59">
        <v>382.03073463268368</v>
      </c>
      <c r="D59">
        <v>384.2</v>
      </c>
      <c r="E59">
        <v>382.18620689655171</v>
      </c>
      <c r="F59">
        <f>_xlfn.STDEV.S(D$2:D59)</f>
        <v>3.8879908795224587</v>
      </c>
      <c r="I59">
        <f t="shared" si="0"/>
        <v>381.18560958487279</v>
      </c>
      <c r="J59">
        <f t="shared" si="1"/>
        <v>383.18680420823063</v>
      </c>
    </row>
    <row r="60" spans="1:10" x14ac:dyDescent="0.2">
      <c r="A60">
        <v>59</v>
      </c>
      <c r="B60">
        <v>382.91304347826087</v>
      </c>
      <c r="C60">
        <v>382.04568901989683</v>
      </c>
      <c r="D60">
        <v>384.65</v>
      </c>
      <c r="E60">
        <v>382.2279661016949</v>
      </c>
      <c r="F60">
        <f>_xlfn.STDEV.S(D$2:D60)</f>
        <v>3.8676517778483017</v>
      </c>
      <c r="I60">
        <f t="shared" si="0"/>
        <v>381.24107450529101</v>
      </c>
      <c r="J60">
        <f t="shared" si="1"/>
        <v>383.2148576980988</v>
      </c>
    </row>
    <row r="61" spans="1:10" x14ac:dyDescent="0.2">
      <c r="A61">
        <v>60</v>
      </c>
      <c r="B61">
        <v>382.82608695652169</v>
      </c>
      <c r="C61">
        <v>382.05869565217392</v>
      </c>
      <c r="D61">
        <v>383.35</v>
      </c>
      <c r="E61">
        <v>382.24666666666673</v>
      </c>
      <c r="F61">
        <f>_xlfn.STDEV.S(D$2:D61)</f>
        <v>3.8374698879916842</v>
      </c>
      <c r="I61">
        <f t="shared" si="0"/>
        <v>381.27567065404691</v>
      </c>
      <c r="J61">
        <f t="shared" si="1"/>
        <v>383.21766267928655</v>
      </c>
    </row>
    <row r="62" spans="1:10" x14ac:dyDescent="0.2">
      <c r="A62">
        <v>61</v>
      </c>
      <c r="B62">
        <v>382.26086956521738</v>
      </c>
      <c r="C62">
        <v>382.06200997861731</v>
      </c>
      <c r="D62">
        <v>383.4</v>
      </c>
      <c r="E62">
        <v>382.26557377049181</v>
      </c>
      <c r="F62">
        <f>_xlfn.STDEV.S(D$2:D62)</f>
        <v>3.8082207239033816</v>
      </c>
      <c r="I62">
        <f t="shared" si="0"/>
        <v>381.30990964018179</v>
      </c>
      <c r="J62">
        <f t="shared" si="1"/>
        <v>383.22123790080184</v>
      </c>
    </row>
    <row r="63" spans="1:10" x14ac:dyDescent="0.2">
      <c r="A63">
        <v>62</v>
      </c>
      <c r="B63">
        <v>384.30434782608688</v>
      </c>
      <c r="C63">
        <v>382.09817671809259</v>
      </c>
      <c r="D63">
        <v>387.9</v>
      </c>
      <c r="E63">
        <v>382.35645161290319</v>
      </c>
      <c r="F63">
        <f>_xlfn.STDEV.S(D$2:D63)</f>
        <v>3.8440659385920042</v>
      </c>
      <c r="I63">
        <f t="shared" si="0"/>
        <v>381.3996033452371</v>
      </c>
      <c r="J63">
        <f t="shared" si="1"/>
        <v>383.31329988056928</v>
      </c>
    </row>
    <row r="64" spans="1:10" x14ac:dyDescent="0.2">
      <c r="A64">
        <v>63</v>
      </c>
      <c r="B64">
        <v>389.6521739130435</v>
      </c>
      <c r="C64">
        <v>382.21808143547281</v>
      </c>
      <c r="D64">
        <v>392.8</v>
      </c>
      <c r="E64">
        <v>382.52222222222218</v>
      </c>
      <c r="F64">
        <f>_xlfn.STDEV.S(D$2:D64)</f>
        <v>4.033576594459209</v>
      </c>
      <c r="I64">
        <f t="shared" si="0"/>
        <v>381.5262020721093</v>
      </c>
      <c r="J64">
        <f t="shared" si="1"/>
        <v>383.51824237233507</v>
      </c>
    </row>
    <row r="65" spans="1:10" x14ac:dyDescent="0.2">
      <c r="A65">
        <v>64</v>
      </c>
      <c r="B65">
        <v>386.04347826086962</v>
      </c>
      <c r="C65">
        <v>382.27785326086962</v>
      </c>
      <c r="D65">
        <v>384.45</v>
      </c>
      <c r="E65">
        <v>382.55234374999998</v>
      </c>
      <c r="F65">
        <f>_xlfn.STDEV.S(D$2:D65)</f>
        <v>4.008685309637853</v>
      </c>
      <c r="I65">
        <f t="shared" si="0"/>
        <v>381.57023389596935</v>
      </c>
      <c r="J65">
        <f t="shared" si="1"/>
        <v>383.5344536040306</v>
      </c>
    </row>
    <row r="66" spans="1:10" x14ac:dyDescent="0.2">
      <c r="A66">
        <v>65</v>
      </c>
      <c r="B66">
        <v>384.52173913043481</v>
      </c>
      <c r="C66">
        <v>382.31237458193982</v>
      </c>
      <c r="D66">
        <v>387.5</v>
      </c>
      <c r="E66">
        <v>382.62846153846152</v>
      </c>
      <c r="F66">
        <f>_xlfn.STDEV.S(D$2:D66)</f>
        <v>4.0243105895487021</v>
      </c>
      <c r="I66">
        <f t="shared" si="0"/>
        <v>381.65013709580984</v>
      </c>
      <c r="J66">
        <f t="shared" si="1"/>
        <v>383.60678598111321</v>
      </c>
    </row>
    <row r="67" spans="1:10" x14ac:dyDescent="0.2">
      <c r="A67">
        <v>66</v>
      </c>
      <c r="B67">
        <v>384.13043478260869</v>
      </c>
      <c r="C67">
        <v>382.33992094861662</v>
      </c>
      <c r="D67">
        <v>382.45</v>
      </c>
      <c r="E67">
        <v>382.62575757575758</v>
      </c>
      <c r="F67">
        <f>_xlfn.STDEV.S(D$2:D67)</f>
        <v>3.9932947879418119</v>
      </c>
      <c r="I67">
        <f t="shared" ref="I67:I101" si="2">E67-(NORMINV(0.975,0,1)*F67/SQRT(A67))</f>
        <v>381.66235568445791</v>
      </c>
      <c r="J67">
        <f t="shared" ref="J67:J101" si="3">E67+(NORMINV(0.975,0,1)*F67/SQRT(A67))</f>
        <v>383.58915946705724</v>
      </c>
    </row>
    <row r="68" spans="1:10" x14ac:dyDescent="0.2">
      <c r="A68">
        <v>67</v>
      </c>
      <c r="B68">
        <v>376.52173913043481</v>
      </c>
      <c r="C68">
        <v>382.25308241401689</v>
      </c>
      <c r="D68">
        <v>378.35</v>
      </c>
      <c r="E68">
        <v>382.56194029850752</v>
      </c>
      <c r="F68">
        <f>_xlfn.STDEV.S(D$2:D68)</f>
        <v>3.9972063118398076</v>
      </c>
      <c r="I68">
        <f t="shared" si="2"/>
        <v>381.6048183969441</v>
      </c>
      <c r="J68">
        <f t="shared" si="3"/>
        <v>383.51906220007095</v>
      </c>
    </row>
    <row r="69" spans="1:10" x14ac:dyDescent="0.2">
      <c r="A69">
        <v>68</v>
      </c>
      <c r="B69">
        <v>379.86956521739131</v>
      </c>
      <c r="C69">
        <v>382.21803069053698</v>
      </c>
      <c r="D69">
        <v>382.5</v>
      </c>
      <c r="E69">
        <v>382.56102941176471</v>
      </c>
      <c r="F69">
        <f>_xlfn.STDEV.S(D$2:D69)</f>
        <v>3.9672713806944482</v>
      </c>
      <c r="I69">
        <f t="shared" si="2"/>
        <v>381.61808618776075</v>
      </c>
      <c r="J69">
        <f t="shared" si="3"/>
        <v>383.50397263576866</v>
      </c>
    </row>
    <row r="70" spans="1:10" s="1" customFormat="1" x14ac:dyDescent="0.2">
      <c r="A70" s="1">
        <v>69</v>
      </c>
      <c r="B70" s="1">
        <v>386.17391304347831</v>
      </c>
      <c r="C70" s="1">
        <v>382.27536231884062</v>
      </c>
      <c r="D70" s="1">
        <v>389.3</v>
      </c>
      <c r="E70" s="1">
        <v>382.65869565217389</v>
      </c>
      <c r="F70" s="1">
        <f>_xlfn.STDEV.S(D$2:D70)</f>
        <v>4.0206905732003255</v>
      </c>
      <c r="I70" s="1">
        <f t="shared" si="2"/>
        <v>381.71000592617924</v>
      </c>
      <c r="J70" s="1">
        <f t="shared" si="3"/>
        <v>383.60738537816854</v>
      </c>
    </row>
    <row r="71" spans="1:10" x14ac:dyDescent="0.2">
      <c r="A71">
        <v>70</v>
      </c>
      <c r="B71">
        <v>376.73913043478262</v>
      </c>
      <c r="C71">
        <v>382.19627329192548</v>
      </c>
      <c r="D71">
        <v>375.05</v>
      </c>
      <c r="E71">
        <v>382.55</v>
      </c>
      <c r="F71">
        <f>_xlfn.STDEV.S(D$2:D71)</f>
        <v>4.0937385910893092</v>
      </c>
    </row>
    <row r="72" spans="1:10" x14ac:dyDescent="0.2">
      <c r="A72">
        <v>71</v>
      </c>
      <c r="B72">
        <v>386.26086956521738</v>
      </c>
      <c r="C72">
        <v>382.25352112676057</v>
      </c>
      <c r="D72">
        <v>386.35</v>
      </c>
      <c r="E72">
        <v>382.60352112676048</v>
      </c>
      <c r="F72">
        <f>_xlfn.STDEV.S(D$2:D72)</f>
        <v>4.0893356423722214</v>
      </c>
    </row>
    <row r="73" spans="1:10" x14ac:dyDescent="0.2">
      <c r="A73">
        <v>72</v>
      </c>
      <c r="B73">
        <v>383.26086956521738</v>
      </c>
      <c r="C73">
        <v>382.26751207729473</v>
      </c>
      <c r="D73">
        <v>382.55</v>
      </c>
      <c r="E73">
        <v>382.60277777777782</v>
      </c>
      <c r="F73">
        <f>_xlfn.STDEV.S(D$2:D73)</f>
        <v>4.0604402807904201</v>
      </c>
    </row>
    <row r="74" spans="1:10" x14ac:dyDescent="0.2">
      <c r="A74">
        <v>73</v>
      </c>
      <c r="B74">
        <v>383.60869565217388</v>
      </c>
      <c r="C74">
        <v>382.28588445503277</v>
      </c>
      <c r="D74">
        <v>382.5</v>
      </c>
      <c r="E74">
        <v>382.6013698630137</v>
      </c>
      <c r="F74">
        <f>_xlfn.STDEV.S(D$2:D74)</f>
        <v>4.032162128529281</v>
      </c>
    </row>
    <row r="75" spans="1:10" x14ac:dyDescent="0.2">
      <c r="A75">
        <v>74</v>
      </c>
      <c r="B75">
        <v>382.69565217391312</v>
      </c>
      <c r="C75">
        <v>382.29142185663932</v>
      </c>
      <c r="D75">
        <v>384.6</v>
      </c>
      <c r="E75">
        <v>382.62837837837839</v>
      </c>
      <c r="F75">
        <f>_xlfn.STDEV.S(D$2:D75)</f>
        <v>4.0111836899591831</v>
      </c>
    </row>
    <row r="76" spans="1:10" x14ac:dyDescent="0.2">
      <c r="A76">
        <v>75</v>
      </c>
      <c r="B76">
        <v>393.91304347826087</v>
      </c>
      <c r="C76">
        <v>382.44637681159418</v>
      </c>
      <c r="D76">
        <v>395.2</v>
      </c>
      <c r="E76">
        <v>382.79599999999999</v>
      </c>
      <c r="F76">
        <f>_xlfn.STDEV.S(D$2:D76)</f>
        <v>4.2402173580187155</v>
      </c>
    </row>
    <row r="77" spans="1:10" x14ac:dyDescent="0.2">
      <c r="A77">
        <v>76</v>
      </c>
      <c r="B77">
        <v>383</v>
      </c>
      <c r="C77">
        <v>382.45366132723109</v>
      </c>
      <c r="D77">
        <v>381.25</v>
      </c>
      <c r="E77">
        <v>382.77565789473692</v>
      </c>
      <c r="F77">
        <f>_xlfn.STDEV.S(D$2:D77)</f>
        <v>4.2155861073011138</v>
      </c>
    </row>
    <row r="78" spans="1:10" x14ac:dyDescent="0.2">
      <c r="A78">
        <v>77</v>
      </c>
      <c r="B78">
        <v>385.21739130434781</v>
      </c>
      <c r="C78">
        <v>382.48955392433652</v>
      </c>
      <c r="D78">
        <v>386.3</v>
      </c>
      <c r="E78">
        <v>382.82142857142861</v>
      </c>
      <c r="F78">
        <f>_xlfn.STDEV.S(D$2:D78)</f>
        <v>4.2069759467509824</v>
      </c>
    </row>
    <row r="79" spans="1:10" x14ac:dyDescent="0.2">
      <c r="A79">
        <v>78</v>
      </c>
      <c r="B79">
        <v>386.60869565217388</v>
      </c>
      <c r="C79">
        <v>382.54236343366779</v>
      </c>
      <c r="D79">
        <v>386.6</v>
      </c>
      <c r="E79">
        <v>382.86987179487181</v>
      </c>
      <c r="F79">
        <f>_xlfn.STDEV.S(D$2:D79)</f>
        <v>4.2014093162997366</v>
      </c>
    </row>
    <row r="80" spans="1:10" x14ac:dyDescent="0.2">
      <c r="A80">
        <v>79</v>
      </c>
      <c r="B80">
        <v>385.56521739130437</v>
      </c>
      <c r="C80">
        <v>382.58062740781509</v>
      </c>
      <c r="D80">
        <v>385.55</v>
      </c>
      <c r="E80">
        <v>382.90379746835453</v>
      </c>
      <c r="F80">
        <f>_xlfn.STDEV.S(D$2:D80)</f>
        <v>4.1852669871021151</v>
      </c>
    </row>
    <row r="81" spans="1:6" x14ac:dyDescent="0.2">
      <c r="A81">
        <v>80</v>
      </c>
      <c r="B81">
        <v>385.86956521739131</v>
      </c>
      <c r="C81">
        <v>382.62173913043478</v>
      </c>
      <c r="D81">
        <v>385.55</v>
      </c>
      <c r="E81">
        <v>382.93687499999999</v>
      </c>
      <c r="F81">
        <f>_xlfn.STDEV.S(D$2:D81)</f>
        <v>4.1692040322654158</v>
      </c>
    </row>
    <row r="82" spans="1:6" x14ac:dyDescent="0.2">
      <c r="A82">
        <v>81</v>
      </c>
      <c r="B82">
        <v>383.08695652173913</v>
      </c>
      <c r="C82">
        <v>382.62748255501879</v>
      </c>
      <c r="D82">
        <v>382.2</v>
      </c>
      <c r="E82">
        <v>382.92777777777781</v>
      </c>
      <c r="F82">
        <f>_xlfn.STDEV.S(D$2:D82)</f>
        <v>4.1438734898642808</v>
      </c>
    </row>
    <row r="83" spans="1:6" x14ac:dyDescent="0.2">
      <c r="A83">
        <v>82</v>
      </c>
      <c r="B83">
        <v>381.91304347826087</v>
      </c>
      <c r="C83">
        <v>382.61876988335098</v>
      </c>
      <c r="D83">
        <v>379.35</v>
      </c>
      <c r="E83">
        <v>382.88414634146341</v>
      </c>
      <c r="F83">
        <f>_xlfn.STDEV.S(D$2:D83)</f>
        <v>4.1371239939458819</v>
      </c>
    </row>
    <row r="84" spans="1:6" x14ac:dyDescent="0.2">
      <c r="A84">
        <v>83</v>
      </c>
      <c r="B84">
        <v>375.78260869565219</v>
      </c>
      <c r="C84">
        <v>382.5364064955474</v>
      </c>
      <c r="D84">
        <v>374.7</v>
      </c>
      <c r="E84">
        <v>382.78554216867468</v>
      </c>
      <c r="F84">
        <f>_xlfn.STDEV.S(D$2:D84)</f>
        <v>4.2088070417475203</v>
      </c>
    </row>
    <row r="85" spans="1:6" x14ac:dyDescent="0.2">
      <c r="A85">
        <v>84</v>
      </c>
      <c r="B85">
        <v>375.69565217391312</v>
      </c>
      <c r="C85">
        <v>382.45496894409939</v>
      </c>
      <c r="D85">
        <v>376.8</v>
      </c>
      <c r="E85">
        <v>382.71428571428572</v>
      </c>
      <c r="F85">
        <f>_xlfn.STDEV.S(D$2:D85)</f>
        <v>4.2340456843476355</v>
      </c>
    </row>
    <row r="86" spans="1:6" x14ac:dyDescent="0.2">
      <c r="A86">
        <v>85</v>
      </c>
      <c r="B86">
        <v>386.26086956521738</v>
      </c>
      <c r="C86">
        <v>382.49974424552431</v>
      </c>
      <c r="D86">
        <v>386.45</v>
      </c>
      <c r="E86">
        <v>382.75823529411758</v>
      </c>
      <c r="F86">
        <f>_xlfn.STDEV.S(D$2:D86)</f>
        <v>4.2282274729518976</v>
      </c>
    </row>
    <row r="87" spans="1:6" x14ac:dyDescent="0.2">
      <c r="A87">
        <v>86</v>
      </c>
      <c r="B87">
        <v>385</v>
      </c>
      <c r="C87">
        <v>382.52881698685542</v>
      </c>
      <c r="D87">
        <v>386.9</v>
      </c>
      <c r="E87">
        <v>382.80639534883721</v>
      </c>
      <c r="F87">
        <f>_xlfn.STDEV.S(D$2:D87)</f>
        <v>4.2269429678699417</v>
      </c>
    </row>
    <row r="88" spans="1:6" x14ac:dyDescent="0.2">
      <c r="A88">
        <v>87</v>
      </c>
      <c r="B88">
        <v>379.08695652173913</v>
      </c>
      <c r="C88">
        <v>382.48925537231378</v>
      </c>
      <c r="D88">
        <v>379.35</v>
      </c>
      <c r="E88">
        <v>382.76666666666671</v>
      </c>
      <c r="F88">
        <f>_xlfn.STDEV.S(D$2:D88)</f>
        <v>4.2186026747172765</v>
      </c>
    </row>
    <row r="89" spans="1:6" x14ac:dyDescent="0.2">
      <c r="A89">
        <v>88</v>
      </c>
      <c r="B89">
        <v>380</v>
      </c>
      <c r="C89">
        <v>382.46096837944663</v>
      </c>
      <c r="D89">
        <v>379.75</v>
      </c>
      <c r="E89">
        <v>382.73238636363641</v>
      </c>
      <c r="F89">
        <f>_xlfn.STDEV.S(D$2:D89)</f>
        <v>4.2065974440043394</v>
      </c>
    </row>
    <row r="90" spans="1:6" x14ac:dyDescent="0.2">
      <c r="A90">
        <v>89</v>
      </c>
      <c r="B90">
        <v>376.6521739130435</v>
      </c>
      <c r="C90">
        <v>382.39570102589158</v>
      </c>
      <c r="D90">
        <v>376.15</v>
      </c>
      <c r="E90">
        <v>382.6584269662921</v>
      </c>
      <c r="F90">
        <f>_xlfn.STDEV.S(D$2:D90)</f>
        <v>4.2404252839020096</v>
      </c>
    </row>
    <row r="91" spans="1:6" x14ac:dyDescent="0.2">
      <c r="A91">
        <v>90</v>
      </c>
      <c r="B91">
        <v>380.56521739130437</v>
      </c>
      <c r="C91">
        <v>382.37536231884059</v>
      </c>
      <c r="D91">
        <v>381.55</v>
      </c>
      <c r="E91">
        <v>382.64611111111111</v>
      </c>
      <c r="F91">
        <f>_xlfn.STDEV.S(D$2:D91)</f>
        <v>4.2181538361312034</v>
      </c>
    </row>
    <row r="92" spans="1:6" x14ac:dyDescent="0.2">
      <c r="A92">
        <v>91</v>
      </c>
      <c r="B92">
        <v>385.78260869565219</v>
      </c>
      <c r="C92">
        <v>382.41280458671758</v>
      </c>
      <c r="D92">
        <v>381.6</v>
      </c>
      <c r="E92">
        <v>382.63461538461542</v>
      </c>
      <c r="F92">
        <f>_xlfn.STDEV.S(D$2:D92)</f>
        <v>4.1960874124176133</v>
      </c>
    </row>
    <row r="93" spans="1:6" x14ac:dyDescent="0.2">
      <c r="A93">
        <v>92</v>
      </c>
      <c r="B93">
        <v>377.26086956521738</v>
      </c>
      <c r="C93">
        <v>382.35680529300572</v>
      </c>
      <c r="D93">
        <v>374.55</v>
      </c>
      <c r="E93">
        <v>382.54673913043479</v>
      </c>
      <c r="F93">
        <f>_xlfn.STDEV.S(D$2:D93)</f>
        <v>4.2572420801501778</v>
      </c>
    </row>
    <row r="94" spans="1:6" x14ac:dyDescent="0.2">
      <c r="A94">
        <v>93</v>
      </c>
      <c r="B94">
        <v>379.52173913043481</v>
      </c>
      <c r="C94">
        <v>382.32632071061249</v>
      </c>
      <c r="D94">
        <v>380</v>
      </c>
      <c r="E94">
        <v>382.51935483870972</v>
      </c>
      <c r="F94">
        <f>_xlfn.STDEV.S(D$2:D94)</f>
        <v>4.2422693902253084</v>
      </c>
    </row>
    <row r="95" spans="1:6" x14ac:dyDescent="0.2">
      <c r="A95">
        <v>94</v>
      </c>
      <c r="B95">
        <v>385.26086956521738</v>
      </c>
      <c r="C95">
        <v>382.35753931544872</v>
      </c>
      <c r="D95">
        <v>385.95</v>
      </c>
      <c r="E95">
        <v>382.55585106382978</v>
      </c>
      <c r="F95">
        <f>_xlfn.STDEV.S(D$2:D95)</f>
        <v>4.234210748858815</v>
      </c>
    </row>
    <row r="96" spans="1:6" x14ac:dyDescent="0.2">
      <c r="A96">
        <v>95</v>
      </c>
      <c r="B96">
        <v>382.82608695652169</v>
      </c>
      <c r="C96">
        <v>382.36247139588102</v>
      </c>
      <c r="D96">
        <v>382.4</v>
      </c>
      <c r="E96">
        <v>382.55421052631579</v>
      </c>
      <c r="F96">
        <f>_xlfn.STDEV.S(D$2:D96)</f>
        <v>4.2116584844037028</v>
      </c>
    </row>
    <row r="97" spans="1:6" x14ac:dyDescent="0.2">
      <c r="A97">
        <v>96</v>
      </c>
      <c r="B97">
        <v>375.56521739130437</v>
      </c>
      <c r="C97">
        <v>382.29166666666669</v>
      </c>
      <c r="D97">
        <v>374.3</v>
      </c>
      <c r="E97">
        <v>382.46822916666662</v>
      </c>
      <c r="F97">
        <f>_xlfn.STDEV.S(D$2:D97)</f>
        <v>4.2732960272374623</v>
      </c>
    </row>
    <row r="98" spans="1:6" x14ac:dyDescent="0.2">
      <c r="A98">
        <v>97</v>
      </c>
      <c r="B98">
        <v>385.78260869565219</v>
      </c>
      <c r="C98">
        <v>382.32765575974901</v>
      </c>
      <c r="D98">
        <v>385.25</v>
      </c>
      <c r="E98">
        <v>382.49690721649478</v>
      </c>
      <c r="F98">
        <f>_xlfn.STDEV.S(D$2:D98)</f>
        <v>4.2603538978647686</v>
      </c>
    </row>
    <row r="99" spans="1:6" x14ac:dyDescent="0.2">
      <c r="A99">
        <v>98</v>
      </c>
      <c r="B99">
        <v>376.04347826086962</v>
      </c>
      <c r="C99">
        <v>382.26353149955628</v>
      </c>
      <c r="D99">
        <v>377.2</v>
      </c>
      <c r="E99">
        <v>382.44285714285718</v>
      </c>
      <c r="F99">
        <f>_xlfn.STDEV.S(D$2:D99)</f>
        <v>4.2719777403953048</v>
      </c>
    </row>
    <row r="100" spans="1:6" x14ac:dyDescent="0.2">
      <c r="A100">
        <v>99</v>
      </c>
      <c r="B100">
        <v>382.82608695652169</v>
      </c>
      <c r="C100">
        <v>382.26921387790952</v>
      </c>
      <c r="D100">
        <v>383.1</v>
      </c>
      <c r="E100">
        <v>382.44949494949498</v>
      </c>
      <c r="F100">
        <f>_xlfn.STDEV.S(D$2:D100)</f>
        <v>4.2506391773226939</v>
      </c>
    </row>
    <row r="101" spans="1:6" x14ac:dyDescent="0.2">
      <c r="A101">
        <v>100</v>
      </c>
      <c r="B101">
        <v>381.39130434782612</v>
      </c>
      <c r="C101">
        <v>382.26043478260868</v>
      </c>
      <c r="D101">
        <v>379.9</v>
      </c>
      <c r="E101">
        <v>382.42399999999998</v>
      </c>
      <c r="F101">
        <f>_xlfn.STDEV.S(D$2:D101)</f>
        <v>4.2367945764254671</v>
      </c>
    </row>
    <row r="103" spans="1:6" x14ac:dyDescent="0.2">
      <c r="A103" t="s">
        <v>3</v>
      </c>
      <c r="B103">
        <v>382.26043478260868</v>
      </c>
      <c r="D103">
        <v>382.42399999999998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3"/>
  <sheetViews>
    <sheetView topLeftCell="B1" workbookViewId="0">
      <selection activeCell="P11" sqref="P11"/>
    </sheetView>
  </sheetViews>
  <sheetFormatPr baseColWidth="10" defaultColWidth="8.83203125" defaultRowHeight="15" x14ac:dyDescent="0.2"/>
  <cols>
    <col min="4" max="4" width="30" bestFit="1" customWidth="1"/>
    <col min="5" max="5" width="21.6640625" bestFit="1" customWidth="1"/>
    <col min="12" max="12" width="12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12</v>
      </c>
      <c r="E1" t="s">
        <v>11</v>
      </c>
      <c r="F1" t="s">
        <v>5</v>
      </c>
      <c r="G1" t="s">
        <v>4</v>
      </c>
      <c r="H1">
        <f>((NORMINV(0.975,0,1)*F101)/1)^2</f>
        <v>55.683280415895055</v>
      </c>
      <c r="I1" t="s">
        <v>6</v>
      </c>
      <c r="J1" t="s">
        <v>7</v>
      </c>
      <c r="L1" t="s">
        <v>4</v>
      </c>
      <c r="M1">
        <f>H2</f>
        <v>56</v>
      </c>
    </row>
    <row r="2" spans="1:13" x14ac:dyDescent="0.2">
      <c r="A2">
        <v>1</v>
      </c>
      <c r="B2">
        <v>302.13043478260869</v>
      </c>
      <c r="C2">
        <v>302.13043478260869</v>
      </c>
      <c r="D2">
        <v>300.39999999999998</v>
      </c>
      <c r="E2">
        <v>300.39999999999998</v>
      </c>
      <c r="F2">
        <v>0</v>
      </c>
      <c r="H2">
        <v>56</v>
      </c>
      <c r="I2">
        <f>E2-(NORMINV(0.975,0,1)*F2/SQRT(A2))</f>
        <v>300.39999999999998</v>
      </c>
      <c r="J2">
        <f>E2+(NORMINV(0.975,0,1)*F2/SQRT(A2))</f>
        <v>300.39999999999998</v>
      </c>
      <c r="L2" t="s">
        <v>8</v>
      </c>
      <c r="M2">
        <f>D57</f>
        <v>290.95</v>
      </c>
    </row>
    <row r="3" spans="1:13" x14ac:dyDescent="0.2">
      <c r="A3">
        <v>2</v>
      </c>
      <c r="B3">
        <v>299.69565217391312</v>
      </c>
      <c r="C3">
        <v>300.91304347826087</v>
      </c>
      <c r="D3">
        <v>297.64999999999998</v>
      </c>
      <c r="E3">
        <v>299.02499999999998</v>
      </c>
      <c r="F3">
        <f>_xlfn.STDEV.S(D$2:D3)</f>
        <v>1.9445436482630056</v>
      </c>
      <c r="I3">
        <f t="shared" ref="I3:I66" si="0">E3-(NORMINV(0.975,0,1)*F3/SQRT(A3))</f>
        <v>296.33004952125742</v>
      </c>
      <c r="J3">
        <f t="shared" ref="J3:J66" si="1">E3+(NORMINV(0.975,0,1)*F3/SQRT(A3))</f>
        <v>301.71995047874253</v>
      </c>
      <c r="L3" t="s">
        <v>9</v>
      </c>
      <c r="M3">
        <f>F57</f>
        <v>3.463793126714604</v>
      </c>
    </row>
    <row r="4" spans="1:13" x14ac:dyDescent="0.2">
      <c r="A4">
        <v>3</v>
      </c>
      <c r="B4">
        <v>298.52173913043481</v>
      </c>
      <c r="C4">
        <v>300.1159420289855</v>
      </c>
      <c r="D4">
        <v>299.89999999999998</v>
      </c>
      <c r="E4">
        <v>299.31666666666672</v>
      </c>
      <c r="F4">
        <f>_xlfn.STDEV.S(D$2:D4)</f>
        <v>1.4648663192705786</v>
      </c>
      <c r="I4">
        <f t="shared" si="0"/>
        <v>297.65904483745146</v>
      </c>
      <c r="J4">
        <f t="shared" si="1"/>
        <v>300.97428849588198</v>
      </c>
      <c r="L4" t="s">
        <v>13</v>
      </c>
      <c r="M4">
        <f>NORMINV(0.975,0,1)</f>
        <v>1.9599639845400536</v>
      </c>
    </row>
    <row r="5" spans="1:13" x14ac:dyDescent="0.2">
      <c r="A5">
        <v>4</v>
      </c>
      <c r="B5">
        <v>295.13043478260869</v>
      </c>
      <c r="C5">
        <v>298.86956521739131</v>
      </c>
      <c r="D5">
        <v>295.25</v>
      </c>
      <c r="E5">
        <v>298.3</v>
      </c>
      <c r="F5">
        <f>_xlfn.STDEV.S(D$2:D5)</f>
        <v>2.3590252224170802</v>
      </c>
      <c r="I5">
        <f t="shared" si="0"/>
        <v>295.98819776272046</v>
      </c>
      <c r="J5">
        <f t="shared" si="1"/>
        <v>300.61180223727956</v>
      </c>
      <c r="L5" t="s">
        <v>10</v>
      </c>
      <c r="M5">
        <f>M3/SQRT(M1)</f>
        <v>0.46286882638673232</v>
      </c>
    </row>
    <row r="6" spans="1:13" x14ac:dyDescent="0.2">
      <c r="A6">
        <v>5</v>
      </c>
      <c r="B6">
        <v>296.56521739130437</v>
      </c>
      <c r="C6">
        <v>298.40869565217389</v>
      </c>
      <c r="D6">
        <v>297.5</v>
      </c>
      <c r="E6">
        <v>298.14</v>
      </c>
      <c r="F6">
        <f>_xlfn.STDEV.S(D$2:D6)</f>
        <v>2.0740660548786676</v>
      </c>
      <c r="I6">
        <f t="shared" si="0"/>
        <v>296.32203435225409</v>
      </c>
      <c r="J6">
        <f t="shared" si="1"/>
        <v>299.95796564774588</v>
      </c>
    </row>
    <row r="7" spans="1:13" x14ac:dyDescent="0.2">
      <c r="A7">
        <v>6</v>
      </c>
      <c r="B7">
        <v>296.26086956521738</v>
      </c>
      <c r="C7">
        <v>298.05072463768118</v>
      </c>
      <c r="D7">
        <v>296.55</v>
      </c>
      <c r="E7">
        <v>297.875</v>
      </c>
      <c r="F7">
        <f>_xlfn.STDEV.S(D$2:D7)</f>
        <v>1.9653880024056203</v>
      </c>
      <c r="I7">
        <f t="shared" si="0"/>
        <v>296.30239096511372</v>
      </c>
      <c r="J7">
        <f t="shared" si="1"/>
        <v>299.44760903488628</v>
      </c>
    </row>
    <row r="8" spans="1:13" x14ac:dyDescent="0.2">
      <c r="A8">
        <v>7</v>
      </c>
      <c r="B8">
        <v>300.86956521739131</v>
      </c>
      <c r="C8">
        <v>298.45341614906829</v>
      </c>
      <c r="D8">
        <v>300.85000000000002</v>
      </c>
      <c r="E8">
        <v>298.3</v>
      </c>
      <c r="F8">
        <f>_xlfn.STDEV.S(D$2:D8)</f>
        <v>2.1173883284209638</v>
      </c>
      <c r="I8">
        <f t="shared" si="0"/>
        <v>296.7314455982181</v>
      </c>
      <c r="J8">
        <f t="shared" si="1"/>
        <v>299.86855440178192</v>
      </c>
    </row>
    <row r="9" spans="1:13" x14ac:dyDescent="0.2">
      <c r="A9">
        <v>8</v>
      </c>
      <c r="B9">
        <v>299.21739130434781</v>
      </c>
      <c r="C9">
        <v>298.54891304347831</v>
      </c>
      <c r="D9">
        <v>300.95</v>
      </c>
      <c r="E9">
        <v>298.63125000000002</v>
      </c>
      <c r="F9">
        <f>_xlfn.STDEV.S(D$2:D9)</f>
        <v>2.1727102068285888</v>
      </c>
      <c r="I9">
        <f t="shared" si="0"/>
        <v>297.12566630757635</v>
      </c>
      <c r="J9">
        <f t="shared" si="1"/>
        <v>300.13683369242369</v>
      </c>
    </row>
    <row r="10" spans="1:13" x14ac:dyDescent="0.2">
      <c r="A10">
        <v>9</v>
      </c>
      <c r="B10">
        <v>300.04347826086962</v>
      </c>
      <c r="C10">
        <v>298.71497584541061</v>
      </c>
      <c r="D10">
        <v>297.55</v>
      </c>
      <c r="E10">
        <v>298.51111111111112</v>
      </c>
      <c r="F10">
        <f>_xlfn.STDEV.S(D$2:D10)</f>
        <v>2.064094501497229</v>
      </c>
      <c r="I10">
        <f t="shared" si="0"/>
        <v>297.1625941499039</v>
      </c>
      <c r="J10">
        <f t="shared" si="1"/>
        <v>299.85962807231834</v>
      </c>
    </row>
    <row r="11" spans="1:13" x14ac:dyDescent="0.2">
      <c r="A11">
        <v>10</v>
      </c>
      <c r="B11">
        <v>297.30434782608688</v>
      </c>
      <c r="C11">
        <v>298.57391304347823</v>
      </c>
      <c r="D11">
        <v>296.55</v>
      </c>
      <c r="E11">
        <v>298.315</v>
      </c>
      <c r="F11">
        <f>_xlfn.STDEV.S(D$2:D11)</f>
        <v>2.0424726300355718</v>
      </c>
      <c r="I11">
        <f t="shared" si="0"/>
        <v>297.04908561028594</v>
      </c>
      <c r="J11">
        <f t="shared" si="1"/>
        <v>299.58091438971405</v>
      </c>
    </row>
    <row r="12" spans="1:13" x14ac:dyDescent="0.2">
      <c r="A12">
        <v>11</v>
      </c>
      <c r="B12">
        <v>293.52173913043481</v>
      </c>
      <c r="C12">
        <v>298.11462450592887</v>
      </c>
      <c r="D12">
        <v>291.8</v>
      </c>
      <c r="E12">
        <v>297.72272727272718</v>
      </c>
      <c r="F12">
        <f>_xlfn.STDEV.S(D$2:D12)</f>
        <v>2.7591994886527837</v>
      </c>
      <c r="I12">
        <f t="shared" si="0"/>
        <v>296.09217453741422</v>
      </c>
      <c r="J12">
        <f t="shared" si="1"/>
        <v>299.35328000804014</v>
      </c>
    </row>
    <row r="13" spans="1:13" x14ac:dyDescent="0.2">
      <c r="A13">
        <v>12</v>
      </c>
      <c r="B13">
        <v>304.91304347826087</v>
      </c>
      <c r="C13">
        <v>298.68115942028987</v>
      </c>
      <c r="D13">
        <v>304.75</v>
      </c>
      <c r="E13">
        <v>298.30833333333328</v>
      </c>
      <c r="F13">
        <f>_xlfn.STDEV.S(D$2:D13)</f>
        <v>3.3220908896036918</v>
      </c>
      <c r="I13">
        <f t="shared" si="0"/>
        <v>296.4287180043433</v>
      </c>
      <c r="J13">
        <f t="shared" si="1"/>
        <v>300.18794866232327</v>
      </c>
    </row>
    <row r="14" spans="1:13" x14ac:dyDescent="0.2">
      <c r="A14">
        <v>13</v>
      </c>
      <c r="B14">
        <v>301.69565217391312</v>
      </c>
      <c r="C14">
        <v>298.91304347826087</v>
      </c>
      <c r="D14">
        <v>299.2</v>
      </c>
      <c r="E14">
        <v>298.37692307692311</v>
      </c>
      <c r="F14">
        <f>_xlfn.STDEV.S(D$2:D14)</f>
        <v>3.1902596148677902</v>
      </c>
      <c r="I14">
        <f t="shared" si="0"/>
        <v>296.64271006239073</v>
      </c>
      <c r="J14">
        <f t="shared" si="1"/>
        <v>300.11113609145548</v>
      </c>
    </row>
    <row r="15" spans="1:13" x14ac:dyDescent="0.2">
      <c r="A15">
        <v>14</v>
      </c>
      <c r="B15">
        <v>305.52173913043481</v>
      </c>
      <c r="C15">
        <v>299.38509316770188</v>
      </c>
      <c r="D15">
        <v>308.25</v>
      </c>
      <c r="E15">
        <v>299.08214285714291</v>
      </c>
      <c r="F15">
        <f>_xlfn.STDEV.S(D$2:D15)</f>
        <v>4.0444457233088427</v>
      </c>
      <c r="I15">
        <f t="shared" si="0"/>
        <v>296.96357155685956</v>
      </c>
      <c r="J15">
        <f t="shared" si="1"/>
        <v>301.20071415742626</v>
      </c>
    </row>
    <row r="16" spans="1:13" x14ac:dyDescent="0.2">
      <c r="A16">
        <v>15</v>
      </c>
      <c r="B16">
        <v>300.30434782608688</v>
      </c>
      <c r="C16">
        <v>299.44637681159418</v>
      </c>
      <c r="D16">
        <v>300.35000000000002</v>
      </c>
      <c r="E16">
        <v>299.16666666666669</v>
      </c>
      <c r="F16">
        <f>_xlfn.STDEV.S(D$2:D16)</f>
        <v>3.9110496703326976</v>
      </c>
      <c r="I16">
        <f t="shared" si="0"/>
        <v>297.18743881816437</v>
      </c>
      <c r="J16">
        <f t="shared" si="1"/>
        <v>301.145894515169</v>
      </c>
    </row>
    <row r="17" spans="1:10" x14ac:dyDescent="0.2">
      <c r="A17">
        <v>16</v>
      </c>
      <c r="B17">
        <v>300.52173913043481</v>
      </c>
      <c r="C17">
        <v>299.51358695652169</v>
      </c>
      <c r="D17">
        <v>298.95</v>
      </c>
      <c r="E17">
        <v>299.15312499999999</v>
      </c>
      <c r="F17">
        <f>_xlfn.STDEV.S(D$2:D17)</f>
        <v>3.7788211896480779</v>
      </c>
      <c r="I17">
        <f t="shared" si="0"/>
        <v>297.30153664106825</v>
      </c>
      <c r="J17">
        <f t="shared" si="1"/>
        <v>301.00471335893172</v>
      </c>
    </row>
    <row r="18" spans="1:10" x14ac:dyDescent="0.2">
      <c r="A18">
        <v>17</v>
      </c>
      <c r="B18">
        <v>300.86956521739131</v>
      </c>
      <c r="C18">
        <v>299.59335038363167</v>
      </c>
      <c r="D18">
        <v>300.14999999999998</v>
      </c>
      <c r="E18">
        <v>299.21176470588239</v>
      </c>
      <c r="F18">
        <f>_xlfn.STDEV.S(D$2:D18)</f>
        <v>3.6668075953309107</v>
      </c>
      <c r="I18">
        <f t="shared" si="0"/>
        <v>297.46870705040214</v>
      </c>
      <c r="J18">
        <f t="shared" si="1"/>
        <v>300.95482236136263</v>
      </c>
    </row>
    <row r="19" spans="1:10" x14ac:dyDescent="0.2">
      <c r="A19">
        <v>18</v>
      </c>
      <c r="B19">
        <v>301.3478260869565</v>
      </c>
      <c r="C19">
        <v>299.69082125603859</v>
      </c>
      <c r="D19">
        <v>300.10000000000002</v>
      </c>
      <c r="E19">
        <v>299.26111111111112</v>
      </c>
      <c r="F19">
        <f>_xlfn.STDEV.S(D$2:D19)</f>
        <v>3.563481260342257</v>
      </c>
      <c r="I19">
        <f t="shared" si="0"/>
        <v>297.61489700887552</v>
      </c>
      <c r="J19">
        <f t="shared" si="1"/>
        <v>300.90732521334672</v>
      </c>
    </row>
    <row r="20" spans="1:10" x14ac:dyDescent="0.2">
      <c r="A20">
        <v>19</v>
      </c>
      <c r="B20">
        <v>298.60869565217388</v>
      </c>
      <c r="C20">
        <v>299.63386727688788</v>
      </c>
      <c r="D20">
        <v>299.55</v>
      </c>
      <c r="E20">
        <v>299.2763157894737</v>
      </c>
      <c r="F20">
        <f>_xlfn.STDEV.S(D$2:D20)</f>
        <v>3.4637154273126267</v>
      </c>
      <c r="I20">
        <f t="shared" si="0"/>
        <v>297.71886800778367</v>
      </c>
      <c r="J20">
        <f t="shared" si="1"/>
        <v>300.83376357116373</v>
      </c>
    </row>
    <row r="21" spans="1:10" x14ac:dyDescent="0.2">
      <c r="A21">
        <v>20</v>
      </c>
      <c r="B21">
        <v>300.56521739130437</v>
      </c>
      <c r="C21">
        <v>299.6804347826087</v>
      </c>
      <c r="D21">
        <v>301.39999999999998</v>
      </c>
      <c r="E21">
        <v>299.38249999999999</v>
      </c>
      <c r="F21">
        <f>_xlfn.STDEV.S(D$2:D21)</f>
        <v>3.4046127764981908</v>
      </c>
      <c r="I21">
        <f t="shared" si="0"/>
        <v>297.89039007973213</v>
      </c>
      <c r="J21">
        <f t="shared" si="1"/>
        <v>300.87460992026786</v>
      </c>
    </row>
    <row r="22" spans="1:10" x14ac:dyDescent="0.2">
      <c r="A22">
        <v>21</v>
      </c>
      <c r="B22">
        <v>298.82608695652169</v>
      </c>
      <c r="C22">
        <v>299.63975155279502</v>
      </c>
      <c r="D22">
        <v>296.95</v>
      </c>
      <c r="E22">
        <v>299.26666666666671</v>
      </c>
      <c r="F22">
        <f>_xlfn.STDEV.S(D$2:D22)</f>
        <v>3.3605927056597205</v>
      </c>
      <c r="I22">
        <f t="shared" si="0"/>
        <v>297.82934383596012</v>
      </c>
      <c r="J22">
        <f t="shared" si="1"/>
        <v>300.7039894973733</v>
      </c>
    </row>
    <row r="23" spans="1:10" x14ac:dyDescent="0.2">
      <c r="A23">
        <v>22</v>
      </c>
      <c r="B23">
        <v>300.21739130434781</v>
      </c>
      <c r="C23">
        <v>299.66600790513837</v>
      </c>
      <c r="D23">
        <v>302.8</v>
      </c>
      <c r="E23">
        <v>299.42727272727268</v>
      </c>
      <c r="F23">
        <f>_xlfn.STDEV.S(D$2:D23)</f>
        <v>3.3650064484735229</v>
      </c>
      <c r="I23">
        <f t="shared" si="0"/>
        <v>298.02115186625088</v>
      </c>
      <c r="J23">
        <f t="shared" si="1"/>
        <v>300.83339358829448</v>
      </c>
    </row>
    <row r="24" spans="1:10" x14ac:dyDescent="0.2">
      <c r="A24">
        <v>23</v>
      </c>
      <c r="B24">
        <v>300</v>
      </c>
      <c r="C24">
        <v>299.68052930056712</v>
      </c>
      <c r="D24">
        <v>301.35000000000002</v>
      </c>
      <c r="E24">
        <v>299.51086956521738</v>
      </c>
      <c r="F24">
        <f>_xlfn.STDEV.S(D$2:D24)</f>
        <v>3.3119946105625311</v>
      </c>
      <c r="I24">
        <f t="shared" si="0"/>
        <v>298.15732115090412</v>
      </c>
      <c r="J24">
        <f t="shared" si="1"/>
        <v>300.86441797953063</v>
      </c>
    </row>
    <row r="25" spans="1:10" x14ac:dyDescent="0.2">
      <c r="A25">
        <v>24</v>
      </c>
      <c r="B25">
        <v>300.56521739130437</v>
      </c>
      <c r="C25">
        <v>299.71739130434781</v>
      </c>
      <c r="D25">
        <v>298.89999999999998</v>
      </c>
      <c r="E25">
        <v>299.48541666666671</v>
      </c>
      <c r="F25">
        <f>_xlfn.STDEV.S(D$2:D25)</f>
        <v>3.2415937829443076</v>
      </c>
      <c r="I25">
        <f t="shared" si="0"/>
        <v>298.18853287978851</v>
      </c>
      <c r="J25">
        <f t="shared" si="1"/>
        <v>300.78230045354491</v>
      </c>
    </row>
    <row r="26" spans="1:10" x14ac:dyDescent="0.2">
      <c r="A26">
        <v>25</v>
      </c>
      <c r="B26">
        <v>300.13043478260869</v>
      </c>
      <c r="C26">
        <v>299.73391304347831</v>
      </c>
      <c r="D26">
        <v>297.95</v>
      </c>
      <c r="E26">
        <v>299.42399999999998</v>
      </c>
      <c r="F26">
        <f>_xlfn.STDEV.S(D$2:D26)</f>
        <v>3.1881656167771455</v>
      </c>
      <c r="I26">
        <f t="shared" si="0"/>
        <v>298.17426204287358</v>
      </c>
      <c r="J26">
        <f t="shared" si="1"/>
        <v>300.67373795712638</v>
      </c>
    </row>
    <row r="27" spans="1:10" x14ac:dyDescent="0.2">
      <c r="A27">
        <v>26</v>
      </c>
      <c r="B27">
        <v>299.3478260869565</v>
      </c>
      <c r="C27">
        <v>299.7190635451505</v>
      </c>
      <c r="D27">
        <v>299.3</v>
      </c>
      <c r="E27">
        <v>299.41923076923081</v>
      </c>
      <c r="F27">
        <f>_xlfn.STDEV.S(D$2:D27)</f>
        <v>3.1238462485556773</v>
      </c>
      <c r="I27">
        <f t="shared" si="0"/>
        <v>298.21848499367763</v>
      </c>
      <c r="J27">
        <f t="shared" si="1"/>
        <v>300.61997654478398</v>
      </c>
    </row>
    <row r="28" spans="1:10" x14ac:dyDescent="0.2">
      <c r="A28">
        <v>27</v>
      </c>
      <c r="B28">
        <v>307.30434782608688</v>
      </c>
      <c r="C28">
        <v>300</v>
      </c>
      <c r="D28">
        <v>303.95</v>
      </c>
      <c r="E28">
        <v>299.58703703703708</v>
      </c>
      <c r="F28">
        <f>_xlfn.STDEV.S(D$2:D28)</f>
        <v>3.1848678451206078</v>
      </c>
      <c r="I28">
        <f t="shared" si="0"/>
        <v>298.38572003088495</v>
      </c>
      <c r="J28">
        <f t="shared" si="1"/>
        <v>300.7883540431892</v>
      </c>
    </row>
    <row r="29" spans="1:10" x14ac:dyDescent="0.2">
      <c r="A29">
        <v>28</v>
      </c>
      <c r="B29">
        <v>299.17391304347831</v>
      </c>
      <c r="C29">
        <v>299.97049689440991</v>
      </c>
      <c r="D29">
        <v>301.2</v>
      </c>
      <c r="E29">
        <v>299.64464285714291</v>
      </c>
      <c r="F29">
        <f>_xlfn.STDEV.S(D$2:D29)</f>
        <v>3.1401621592273514</v>
      </c>
      <c r="I29">
        <f t="shared" si="0"/>
        <v>298.48153188901028</v>
      </c>
      <c r="J29">
        <f t="shared" si="1"/>
        <v>300.80775382527554</v>
      </c>
    </row>
    <row r="30" spans="1:10" x14ac:dyDescent="0.2">
      <c r="A30">
        <v>29</v>
      </c>
      <c r="B30">
        <v>300.04347826086962</v>
      </c>
      <c r="C30">
        <v>299.9730134932534</v>
      </c>
      <c r="D30">
        <v>302.05</v>
      </c>
      <c r="E30">
        <v>299.72758620689649</v>
      </c>
      <c r="F30">
        <f>_xlfn.STDEV.S(D$2:D30)</f>
        <v>3.1157602318952744</v>
      </c>
      <c r="I30">
        <f t="shared" si="0"/>
        <v>298.59358603091556</v>
      </c>
      <c r="J30">
        <f t="shared" si="1"/>
        <v>300.86158638287742</v>
      </c>
    </row>
    <row r="31" spans="1:10" x14ac:dyDescent="0.2">
      <c r="A31">
        <v>30</v>
      </c>
      <c r="B31">
        <v>304.17391304347831</v>
      </c>
      <c r="C31">
        <v>300.11304347826092</v>
      </c>
      <c r="D31">
        <v>301.95</v>
      </c>
      <c r="E31">
        <v>299.80166666666662</v>
      </c>
      <c r="F31">
        <f>_xlfn.STDEV.S(D$2:D31)</f>
        <v>3.0883396759461199</v>
      </c>
      <c r="I31">
        <f t="shared" si="0"/>
        <v>298.69653881426422</v>
      </c>
      <c r="J31">
        <f t="shared" si="1"/>
        <v>300.90679451906902</v>
      </c>
    </row>
    <row r="32" spans="1:10" x14ac:dyDescent="0.2">
      <c r="A32">
        <v>31</v>
      </c>
      <c r="B32">
        <v>301.17391304347831</v>
      </c>
      <c r="C32">
        <v>300.14726507713891</v>
      </c>
      <c r="D32">
        <v>304.10000000000002</v>
      </c>
      <c r="E32">
        <v>299.94032258064522</v>
      </c>
      <c r="F32">
        <f>_xlfn.STDEV.S(D$2:D32)</f>
        <v>3.133034188419662</v>
      </c>
      <c r="I32">
        <f t="shared" si="0"/>
        <v>298.83743212561274</v>
      </c>
      <c r="J32">
        <f t="shared" si="1"/>
        <v>301.0432130356777</v>
      </c>
    </row>
    <row r="33" spans="1:10" x14ac:dyDescent="0.2">
      <c r="A33">
        <v>32</v>
      </c>
      <c r="B33">
        <v>300.91304347826087</v>
      </c>
      <c r="C33">
        <v>300.17119565217388</v>
      </c>
      <c r="D33">
        <v>303.3</v>
      </c>
      <c r="E33">
        <v>300.04531250000002</v>
      </c>
      <c r="F33">
        <f>_xlfn.STDEV.S(D$2:D33)</f>
        <v>3.1387885318352762</v>
      </c>
      <c r="I33">
        <f t="shared" si="0"/>
        <v>298.95779774247615</v>
      </c>
      <c r="J33">
        <f t="shared" si="1"/>
        <v>301.1328272575239</v>
      </c>
    </row>
    <row r="34" spans="1:10" x14ac:dyDescent="0.2">
      <c r="A34">
        <v>33</v>
      </c>
      <c r="B34">
        <v>304.39130434782612</v>
      </c>
      <c r="C34">
        <v>300.29907773386037</v>
      </c>
      <c r="D34">
        <v>304.8</v>
      </c>
      <c r="E34">
        <v>300.18939393939388</v>
      </c>
      <c r="F34">
        <f>_xlfn.STDEV.S(D$2:D34)</f>
        <v>3.1983090643670025</v>
      </c>
      <c r="I34">
        <f t="shared" si="0"/>
        <v>299.09817586705464</v>
      </c>
      <c r="J34">
        <f t="shared" si="1"/>
        <v>301.28061201173313</v>
      </c>
    </row>
    <row r="35" spans="1:10" x14ac:dyDescent="0.2">
      <c r="A35">
        <v>34</v>
      </c>
      <c r="B35">
        <v>298.73913043478262</v>
      </c>
      <c r="C35">
        <v>300.25319693094627</v>
      </c>
      <c r="D35">
        <v>298.95</v>
      </c>
      <c r="E35">
        <v>300.15294117647062</v>
      </c>
      <c r="F35">
        <f>_xlfn.STDEV.S(D$2:D35)</f>
        <v>3.156641415608997</v>
      </c>
      <c r="I35">
        <f t="shared" si="0"/>
        <v>299.09189598208809</v>
      </c>
      <c r="J35">
        <f t="shared" si="1"/>
        <v>301.21398637085315</v>
      </c>
    </row>
    <row r="36" spans="1:10" x14ac:dyDescent="0.2">
      <c r="A36">
        <v>35</v>
      </c>
      <c r="B36">
        <v>293.78260869565219</v>
      </c>
      <c r="C36">
        <v>300.06832298136652</v>
      </c>
      <c r="D36">
        <v>294.45</v>
      </c>
      <c r="E36">
        <v>299.99</v>
      </c>
      <c r="F36">
        <f>_xlfn.STDEV.S(D$2:D36)</f>
        <v>3.2558499387301962</v>
      </c>
      <c r="I36">
        <f t="shared" si="0"/>
        <v>298.91135521275294</v>
      </c>
      <c r="J36">
        <f t="shared" si="1"/>
        <v>301.06864478724708</v>
      </c>
    </row>
    <row r="37" spans="1:10" x14ac:dyDescent="0.2">
      <c r="A37">
        <v>36</v>
      </c>
      <c r="B37">
        <v>293.47826086956519</v>
      </c>
      <c r="C37">
        <v>299.8852657004831</v>
      </c>
      <c r="D37">
        <v>293.89999999999998</v>
      </c>
      <c r="E37">
        <v>299.82083333333333</v>
      </c>
      <c r="F37">
        <f>_xlfn.STDEV.S(D$2:D37)</f>
        <v>3.365696170821979</v>
      </c>
      <c r="I37">
        <f t="shared" si="0"/>
        <v>298.72139278704742</v>
      </c>
      <c r="J37">
        <f t="shared" si="1"/>
        <v>300.92027387961923</v>
      </c>
    </row>
    <row r="38" spans="1:10" x14ac:dyDescent="0.2">
      <c r="A38">
        <v>37</v>
      </c>
      <c r="B38">
        <v>294.13043478260869</v>
      </c>
      <c r="C38">
        <v>299.72972972972968</v>
      </c>
      <c r="D38">
        <v>296.55</v>
      </c>
      <c r="E38">
        <v>299.73243243243252</v>
      </c>
      <c r="F38">
        <f>_xlfn.STDEV.S(D$2:D38)</f>
        <v>3.3619029047759774</v>
      </c>
      <c r="I38">
        <f t="shared" si="0"/>
        <v>298.64917320933108</v>
      </c>
      <c r="J38">
        <f t="shared" si="1"/>
        <v>300.81569165553395</v>
      </c>
    </row>
    <row r="39" spans="1:10" x14ac:dyDescent="0.2">
      <c r="A39">
        <v>38</v>
      </c>
      <c r="B39">
        <v>298.17391304347831</v>
      </c>
      <c r="C39">
        <v>299.68878718535473</v>
      </c>
      <c r="D39">
        <v>300.14999999999998</v>
      </c>
      <c r="E39">
        <v>299.74342105263162</v>
      </c>
      <c r="F39">
        <f>_xlfn.STDEV.S(D$2:D39)</f>
        <v>3.3168523635680538</v>
      </c>
      <c r="I39">
        <f t="shared" si="0"/>
        <v>298.6888340032383</v>
      </c>
      <c r="J39">
        <f t="shared" si="1"/>
        <v>300.79800810202494</v>
      </c>
    </row>
    <row r="40" spans="1:10" x14ac:dyDescent="0.2">
      <c r="A40">
        <v>39</v>
      </c>
      <c r="B40">
        <v>301.26086956521738</v>
      </c>
      <c r="C40">
        <v>299.72909698996648</v>
      </c>
      <c r="D40">
        <v>301.2</v>
      </c>
      <c r="E40">
        <v>299.78076923076918</v>
      </c>
      <c r="F40">
        <f>_xlfn.STDEV.S(D$2:D40)</f>
        <v>3.2812187920243314</v>
      </c>
      <c r="I40">
        <f t="shared" si="0"/>
        <v>298.75097375935144</v>
      </c>
      <c r="J40">
        <f t="shared" si="1"/>
        <v>300.81056470218692</v>
      </c>
    </row>
    <row r="41" spans="1:10" x14ac:dyDescent="0.2">
      <c r="A41">
        <v>40</v>
      </c>
      <c r="B41">
        <v>295.08695652173913</v>
      </c>
      <c r="C41">
        <v>299.61304347826092</v>
      </c>
      <c r="D41">
        <v>295.39999999999998</v>
      </c>
      <c r="E41">
        <v>299.67124999999999</v>
      </c>
      <c r="F41">
        <f>_xlfn.STDEV.S(D$2:D41)</f>
        <v>3.3121162090197407</v>
      </c>
      <c r="I41">
        <f t="shared" si="0"/>
        <v>298.64483341361705</v>
      </c>
      <c r="J41">
        <f t="shared" si="1"/>
        <v>300.69766658638292</v>
      </c>
    </row>
    <row r="42" spans="1:10" x14ac:dyDescent="0.2">
      <c r="A42">
        <v>41</v>
      </c>
      <c r="B42">
        <v>291.08695652173913</v>
      </c>
      <c r="C42">
        <v>299.40509013785788</v>
      </c>
      <c r="D42">
        <v>290.60000000000002</v>
      </c>
      <c r="E42">
        <v>299.45</v>
      </c>
      <c r="F42">
        <f>_xlfn.STDEV.S(D$2:D42)</f>
        <v>3.5641092856420671</v>
      </c>
      <c r="I42">
        <f t="shared" si="0"/>
        <v>298.35904415129323</v>
      </c>
      <c r="J42">
        <f t="shared" si="1"/>
        <v>300.54095584870674</v>
      </c>
    </row>
    <row r="43" spans="1:10" x14ac:dyDescent="0.2">
      <c r="A43">
        <v>42</v>
      </c>
      <c r="B43">
        <v>296.82608695652169</v>
      </c>
      <c r="C43">
        <v>299.34368530020703</v>
      </c>
      <c r="D43">
        <v>297.8</v>
      </c>
      <c r="E43">
        <v>299.41071428571428</v>
      </c>
      <c r="F43">
        <f>_xlfn.STDEV.S(D$2:D43)</f>
        <v>3.5295708250521396</v>
      </c>
      <c r="I43">
        <f t="shared" si="0"/>
        <v>298.34326968024118</v>
      </c>
      <c r="J43">
        <f t="shared" si="1"/>
        <v>300.47815889118738</v>
      </c>
    </row>
    <row r="44" spans="1:10" x14ac:dyDescent="0.2">
      <c r="A44">
        <v>43</v>
      </c>
      <c r="B44">
        <v>298.60869565217388</v>
      </c>
      <c r="C44">
        <v>299.32659251769468</v>
      </c>
      <c r="D44">
        <v>299.89999999999998</v>
      </c>
      <c r="E44">
        <v>299.4220930232558</v>
      </c>
      <c r="F44">
        <f>_xlfn.STDEV.S(D$2:D44)</f>
        <v>3.4880971467873945</v>
      </c>
      <c r="I44">
        <f t="shared" si="0"/>
        <v>298.37952971794323</v>
      </c>
      <c r="J44">
        <f t="shared" si="1"/>
        <v>300.46465632856837</v>
      </c>
    </row>
    <row r="45" spans="1:10" x14ac:dyDescent="0.2">
      <c r="A45">
        <v>44</v>
      </c>
      <c r="B45">
        <v>301.86956521739131</v>
      </c>
      <c r="C45">
        <v>299.38438735177863</v>
      </c>
      <c r="D45">
        <v>300.85000000000002</v>
      </c>
      <c r="E45">
        <v>299.45454545454538</v>
      </c>
      <c r="F45">
        <f>_xlfn.STDEV.S(D$2:D45)</f>
        <v>3.4540138124348161</v>
      </c>
      <c r="I45">
        <f t="shared" si="0"/>
        <v>298.43396834643198</v>
      </c>
      <c r="J45">
        <f t="shared" si="1"/>
        <v>300.47512256265878</v>
      </c>
    </row>
    <row r="46" spans="1:10" x14ac:dyDescent="0.2">
      <c r="A46">
        <v>45</v>
      </c>
      <c r="B46">
        <v>299.30434782608688</v>
      </c>
      <c r="C46">
        <v>299.38260869565221</v>
      </c>
      <c r="D46">
        <v>301.64999999999998</v>
      </c>
      <c r="E46">
        <v>299.50333333333327</v>
      </c>
      <c r="F46">
        <f>_xlfn.STDEV.S(D$2:D46)</f>
        <v>3.4301868488730785</v>
      </c>
      <c r="I46">
        <f t="shared" si="0"/>
        <v>298.50112130285771</v>
      </c>
      <c r="J46">
        <f t="shared" si="1"/>
        <v>300.50554536380884</v>
      </c>
    </row>
    <row r="47" spans="1:10" x14ac:dyDescent="0.2">
      <c r="A47">
        <v>46</v>
      </c>
      <c r="B47">
        <v>302.43478260869563</v>
      </c>
      <c r="C47">
        <v>299.44896030245752</v>
      </c>
      <c r="D47">
        <v>303.25</v>
      </c>
      <c r="E47">
        <v>299.58478260869572</v>
      </c>
      <c r="F47">
        <f>_xlfn.STDEV.S(D$2:D47)</f>
        <v>3.4365497808318262</v>
      </c>
      <c r="I47">
        <f t="shared" si="0"/>
        <v>298.59168527809288</v>
      </c>
      <c r="J47">
        <f t="shared" si="1"/>
        <v>300.57787993929855</v>
      </c>
    </row>
    <row r="48" spans="1:10" x14ac:dyDescent="0.2">
      <c r="A48">
        <v>47</v>
      </c>
      <c r="B48">
        <v>299.73913043478262</v>
      </c>
      <c r="C48">
        <v>299.45513413506012</v>
      </c>
      <c r="D48">
        <v>299.10000000000002</v>
      </c>
      <c r="E48">
        <v>299.57446808510639</v>
      </c>
      <c r="F48">
        <f>_xlfn.STDEV.S(D$2:D48)</f>
        <v>3.3997262092516136</v>
      </c>
      <c r="I48">
        <f t="shared" si="0"/>
        <v>298.60251991737925</v>
      </c>
      <c r="J48">
        <f t="shared" si="1"/>
        <v>300.54641625283352</v>
      </c>
    </row>
    <row r="49" spans="1:10" x14ac:dyDescent="0.2">
      <c r="A49">
        <v>48</v>
      </c>
      <c r="B49">
        <v>298.6521739130435</v>
      </c>
      <c r="C49">
        <v>299.43840579710138</v>
      </c>
      <c r="D49">
        <v>299.05</v>
      </c>
      <c r="E49">
        <v>299.56354166666671</v>
      </c>
      <c r="F49">
        <f>_xlfn.STDEV.S(D$2:D49)</f>
        <v>3.3642162563520719</v>
      </c>
      <c r="I49">
        <f t="shared" si="0"/>
        <v>298.6118168861579</v>
      </c>
      <c r="J49">
        <f t="shared" si="1"/>
        <v>300.51526644717552</v>
      </c>
    </row>
    <row r="50" spans="1:10" x14ac:dyDescent="0.2">
      <c r="A50">
        <v>49</v>
      </c>
      <c r="B50">
        <v>295.04347826086962</v>
      </c>
      <c r="C50">
        <v>299.34871339840288</v>
      </c>
      <c r="D50">
        <v>295.89999999999998</v>
      </c>
      <c r="E50">
        <v>299.48877551020411</v>
      </c>
      <c r="F50">
        <f>_xlfn.STDEV.S(D$2:D50)</f>
        <v>3.3698767488917296</v>
      </c>
      <c r="I50">
        <f t="shared" si="0"/>
        <v>298.54522735875173</v>
      </c>
      <c r="J50">
        <f t="shared" si="1"/>
        <v>300.43232366165648</v>
      </c>
    </row>
    <row r="51" spans="1:10" x14ac:dyDescent="0.2">
      <c r="A51">
        <v>50</v>
      </c>
      <c r="B51">
        <v>297.82608695652169</v>
      </c>
      <c r="C51">
        <v>299.31826086956522</v>
      </c>
      <c r="D51">
        <v>298.25</v>
      </c>
      <c r="E51">
        <v>299.464</v>
      </c>
      <c r="F51">
        <f>_xlfn.STDEV.S(D$2:D51)</f>
        <v>3.3399107894721767</v>
      </c>
      <c r="I51">
        <f t="shared" si="0"/>
        <v>298.53824097277675</v>
      </c>
      <c r="J51">
        <f t="shared" si="1"/>
        <v>300.38975902722325</v>
      </c>
    </row>
    <row r="52" spans="1:10" x14ac:dyDescent="0.2">
      <c r="A52">
        <v>51</v>
      </c>
      <c r="B52">
        <v>295.04347826086962</v>
      </c>
      <c r="C52">
        <v>299.23444160272811</v>
      </c>
      <c r="D52">
        <v>296.3</v>
      </c>
      <c r="E52">
        <v>299.4019607843137</v>
      </c>
      <c r="F52">
        <f>_xlfn.STDEV.S(D$2:D52)</f>
        <v>3.335895094038686</v>
      </c>
      <c r="I52">
        <f t="shared" si="0"/>
        <v>298.48642486514274</v>
      </c>
      <c r="J52">
        <f t="shared" si="1"/>
        <v>300.31749670348466</v>
      </c>
    </row>
    <row r="53" spans="1:10" x14ac:dyDescent="0.2">
      <c r="A53">
        <v>52</v>
      </c>
      <c r="B53">
        <v>299.91304347826087</v>
      </c>
      <c r="C53">
        <v>299.24749163879602</v>
      </c>
      <c r="D53">
        <v>299.60000000000002</v>
      </c>
      <c r="E53">
        <v>299.40576923076918</v>
      </c>
      <c r="F53">
        <f>_xlfn.STDEV.S(D$2:D53)</f>
        <v>3.3031425002675729</v>
      </c>
      <c r="I53">
        <f t="shared" si="0"/>
        <v>298.50798136953637</v>
      </c>
      <c r="J53">
        <f t="shared" si="1"/>
        <v>300.30355709200199</v>
      </c>
    </row>
    <row r="54" spans="1:10" x14ac:dyDescent="0.2">
      <c r="A54">
        <v>53</v>
      </c>
      <c r="B54">
        <v>295.73913043478262</v>
      </c>
      <c r="C54">
        <v>299.18129614438072</v>
      </c>
      <c r="D54">
        <v>296.14999999999998</v>
      </c>
      <c r="E54">
        <v>299.34433962264148</v>
      </c>
      <c r="F54">
        <f>_xlfn.STDEV.S(D$2:D54)</f>
        <v>3.3016554760359731</v>
      </c>
      <c r="I54">
        <f t="shared" si="0"/>
        <v>298.45546213029507</v>
      </c>
      <c r="J54">
        <f t="shared" si="1"/>
        <v>300.23321711498789</v>
      </c>
    </row>
    <row r="55" spans="1:10" x14ac:dyDescent="0.2">
      <c r="A55">
        <v>54</v>
      </c>
      <c r="B55">
        <v>295.30434782608688</v>
      </c>
      <c r="C55">
        <v>299.10950080515289</v>
      </c>
      <c r="D55">
        <v>295.85000000000002</v>
      </c>
      <c r="E55">
        <v>299.27962962962971</v>
      </c>
      <c r="F55">
        <f>_xlfn.STDEV.S(D$2:D55)</f>
        <v>3.3047495626080892</v>
      </c>
      <c r="I55">
        <f t="shared" si="0"/>
        <v>298.39819569837664</v>
      </c>
      <c r="J55">
        <f t="shared" si="1"/>
        <v>300.16106356088278</v>
      </c>
    </row>
    <row r="56" spans="1:10" x14ac:dyDescent="0.2">
      <c r="A56">
        <v>55</v>
      </c>
      <c r="B56">
        <v>297.86956521739131</v>
      </c>
      <c r="C56">
        <v>299.08695652173913</v>
      </c>
      <c r="D56">
        <v>295.5</v>
      </c>
      <c r="E56">
        <v>299.21090909090913</v>
      </c>
      <c r="F56">
        <f>_xlfn.STDEV.S(D$2:D56)</f>
        <v>3.3134363234201856</v>
      </c>
      <c r="I56">
        <f t="shared" si="0"/>
        <v>298.33522920312424</v>
      </c>
      <c r="J56">
        <f t="shared" si="1"/>
        <v>300.08658897869401</v>
      </c>
    </row>
    <row r="57" spans="1:10" s="1" customFormat="1" x14ac:dyDescent="0.2">
      <c r="A57" s="1">
        <v>56</v>
      </c>
      <c r="B57" s="1">
        <v>293.17391304347831</v>
      </c>
      <c r="C57" s="1">
        <v>298.98136645962728</v>
      </c>
      <c r="D57" s="1">
        <v>290.95</v>
      </c>
      <c r="E57" s="1">
        <v>299.06339285714279</v>
      </c>
      <c r="F57" s="1">
        <f>_xlfn.STDEV.S(D$2:D57)</f>
        <v>3.463793126714604</v>
      </c>
      <c r="I57" s="1">
        <f t="shared" si="0"/>
        <v>298.15618662785846</v>
      </c>
      <c r="J57" s="1">
        <f t="shared" si="1"/>
        <v>299.97059908642711</v>
      </c>
    </row>
    <row r="58" spans="1:10" x14ac:dyDescent="0.2">
      <c r="A58">
        <v>57</v>
      </c>
      <c r="B58">
        <v>301</v>
      </c>
      <c r="C58">
        <v>299.01678108314269</v>
      </c>
      <c r="D58">
        <v>299.89999999999998</v>
      </c>
      <c r="E58">
        <v>299.0780701754386</v>
      </c>
      <c r="F58">
        <f>_xlfn.STDEV.S(D$2:D58)</f>
        <v>3.4345151657197417</v>
      </c>
      <c r="I58">
        <f t="shared" si="0"/>
        <v>298.18645777163283</v>
      </c>
      <c r="J58">
        <f t="shared" si="1"/>
        <v>299.96968257924436</v>
      </c>
    </row>
    <row r="59" spans="1:10" x14ac:dyDescent="0.2">
      <c r="A59">
        <v>58</v>
      </c>
      <c r="B59">
        <v>299.52173913043481</v>
      </c>
      <c r="C59">
        <v>299.02548725637178</v>
      </c>
      <c r="D59">
        <v>298.3</v>
      </c>
      <c r="E59">
        <v>299.06465517241378</v>
      </c>
      <c r="F59">
        <f>_xlfn.STDEV.S(D$2:D59)</f>
        <v>3.4057872395546283</v>
      </c>
      <c r="I59">
        <f t="shared" si="0"/>
        <v>298.18815580252141</v>
      </c>
      <c r="J59">
        <f t="shared" si="1"/>
        <v>299.94115454230615</v>
      </c>
    </row>
    <row r="60" spans="1:10" x14ac:dyDescent="0.2">
      <c r="A60">
        <v>59</v>
      </c>
      <c r="B60">
        <v>299.08695652173913</v>
      </c>
      <c r="C60">
        <v>299.02652910832722</v>
      </c>
      <c r="D60">
        <v>297.7</v>
      </c>
      <c r="E60">
        <v>299.04152542372879</v>
      </c>
      <c r="F60">
        <f>_xlfn.STDEV.S(D$2:D60)</f>
        <v>3.3809704858319347</v>
      </c>
      <c r="I60">
        <f t="shared" si="0"/>
        <v>298.17881813987572</v>
      </c>
      <c r="J60">
        <f t="shared" si="1"/>
        <v>299.90423270758185</v>
      </c>
    </row>
    <row r="61" spans="1:10" x14ac:dyDescent="0.2">
      <c r="A61">
        <v>60</v>
      </c>
      <c r="B61">
        <v>301.47826086956519</v>
      </c>
      <c r="C61">
        <v>299.06739130434778</v>
      </c>
      <c r="D61">
        <v>301.05</v>
      </c>
      <c r="E61">
        <v>299.07499999999999</v>
      </c>
      <c r="F61">
        <f>_xlfn.STDEV.S(D$2:D61)</f>
        <v>3.3622089691960513</v>
      </c>
      <c r="I61">
        <f t="shared" si="0"/>
        <v>298.22425938236023</v>
      </c>
      <c r="J61">
        <f t="shared" si="1"/>
        <v>299.92574061763975</v>
      </c>
    </row>
    <row r="62" spans="1:10" x14ac:dyDescent="0.2">
      <c r="A62">
        <v>61</v>
      </c>
      <c r="B62">
        <v>296.78260869565219</v>
      </c>
      <c r="C62">
        <v>299.02993585174619</v>
      </c>
      <c r="D62">
        <v>296.64999999999998</v>
      </c>
      <c r="E62">
        <v>299.03524590163943</v>
      </c>
      <c r="F62">
        <f>_xlfn.STDEV.S(D$2:D62)</f>
        <v>3.3484989704629244</v>
      </c>
      <c r="I62">
        <f t="shared" si="0"/>
        <v>298.19494787574888</v>
      </c>
      <c r="J62">
        <f t="shared" si="1"/>
        <v>299.87554392752998</v>
      </c>
    </row>
    <row r="63" spans="1:10" x14ac:dyDescent="0.2">
      <c r="A63">
        <v>62</v>
      </c>
      <c r="B63">
        <v>300.78260869565219</v>
      </c>
      <c r="C63">
        <v>299.05820476858349</v>
      </c>
      <c r="D63">
        <v>301.89999999999998</v>
      </c>
      <c r="E63">
        <v>299.08145161290321</v>
      </c>
      <c r="F63">
        <f>_xlfn.STDEV.S(D$2:D63)</f>
        <v>3.3408087009448528</v>
      </c>
      <c r="I63">
        <f t="shared" si="0"/>
        <v>298.24987196022073</v>
      </c>
      <c r="J63">
        <f t="shared" si="1"/>
        <v>299.91303126558569</v>
      </c>
    </row>
    <row r="64" spans="1:10" x14ac:dyDescent="0.2">
      <c r="A64">
        <v>63</v>
      </c>
      <c r="B64">
        <v>306.3478260869565</v>
      </c>
      <c r="C64">
        <v>299.17391304347831</v>
      </c>
      <c r="D64">
        <v>309.60000000000002</v>
      </c>
      <c r="E64">
        <v>299.24841269841272</v>
      </c>
      <c r="F64">
        <f>_xlfn.STDEV.S(D$2:D64)</f>
        <v>3.5689178835034858</v>
      </c>
      <c r="I64">
        <f t="shared" si="0"/>
        <v>298.36713176998046</v>
      </c>
      <c r="J64">
        <f t="shared" si="1"/>
        <v>300.12969362684498</v>
      </c>
    </row>
    <row r="65" spans="1:10" x14ac:dyDescent="0.2">
      <c r="A65">
        <v>64</v>
      </c>
      <c r="B65">
        <v>296.13043478260869</v>
      </c>
      <c r="C65">
        <v>299.12635869565219</v>
      </c>
      <c r="D65">
        <v>295.10000000000002</v>
      </c>
      <c r="E65">
        <v>299.18359375</v>
      </c>
      <c r="F65">
        <f>_xlfn.STDEV.S(D$2:D65)</f>
        <v>3.5782528179499384</v>
      </c>
      <c r="I65">
        <f t="shared" si="0"/>
        <v>298.30693791865491</v>
      </c>
      <c r="J65">
        <f t="shared" si="1"/>
        <v>300.06024958134509</v>
      </c>
    </row>
    <row r="66" spans="1:10" x14ac:dyDescent="0.2">
      <c r="A66">
        <v>65</v>
      </c>
      <c r="B66">
        <v>294.26086956521738</v>
      </c>
      <c r="C66">
        <v>299.05150501672239</v>
      </c>
      <c r="D66">
        <v>295.8</v>
      </c>
      <c r="E66">
        <v>299.13153846153853</v>
      </c>
      <c r="F66">
        <f>_xlfn.STDEV.S(D$2:D66)</f>
        <v>3.5749078793940776</v>
      </c>
      <c r="I66">
        <f t="shared" si="0"/>
        <v>298.26246544124967</v>
      </c>
      <c r="J66">
        <f t="shared" si="1"/>
        <v>300.00061148182738</v>
      </c>
    </row>
    <row r="67" spans="1:10" x14ac:dyDescent="0.2">
      <c r="A67">
        <v>66</v>
      </c>
      <c r="B67">
        <v>294.39130434782612</v>
      </c>
      <c r="C67">
        <v>298.98089591567862</v>
      </c>
      <c r="D67">
        <v>295</v>
      </c>
      <c r="E67">
        <v>299.06893939393939</v>
      </c>
      <c r="F67">
        <f>_xlfn.STDEV.S(D$2:D67)</f>
        <v>3.5835711147864693</v>
      </c>
      <c r="I67">
        <f t="shared" ref="I67:I101" si="2">E67-(NORMINV(0.975,0,1)*F67/SQRT(A67))</f>
        <v>298.2043853419778</v>
      </c>
      <c r="J67">
        <f t="shared" ref="J67:J101" si="3">E67+(NORMINV(0.975,0,1)*F67/SQRT(A67))</f>
        <v>299.93349344590098</v>
      </c>
    </row>
    <row r="68" spans="1:10" x14ac:dyDescent="0.2">
      <c r="A68">
        <v>67</v>
      </c>
      <c r="B68">
        <v>294.86956521739131</v>
      </c>
      <c r="C68">
        <v>298.91953277092801</v>
      </c>
      <c r="D68">
        <v>291.89999999999998</v>
      </c>
      <c r="E68">
        <v>298.9619402985075</v>
      </c>
      <c r="F68">
        <f>_xlfn.STDEV.S(D$2:D68)</f>
        <v>3.6625778464396124</v>
      </c>
      <c r="I68">
        <f t="shared" si="2"/>
        <v>298.0849444170027</v>
      </c>
      <c r="J68">
        <f t="shared" si="3"/>
        <v>299.8389361800123</v>
      </c>
    </row>
    <row r="69" spans="1:10" x14ac:dyDescent="0.2">
      <c r="A69">
        <v>68</v>
      </c>
      <c r="B69">
        <v>295.52173913043481</v>
      </c>
      <c r="C69">
        <v>298.86956521739131</v>
      </c>
      <c r="D69">
        <v>295.60000000000002</v>
      </c>
      <c r="E69">
        <v>298.91250000000002</v>
      </c>
      <c r="F69">
        <f>_xlfn.STDEV.S(D$2:D69)</f>
        <v>3.6579332615930356</v>
      </c>
      <c r="I69">
        <f t="shared" si="2"/>
        <v>298.04308042873942</v>
      </c>
      <c r="J69">
        <f t="shared" si="3"/>
        <v>299.78191957126063</v>
      </c>
    </row>
    <row r="70" spans="1:10" x14ac:dyDescent="0.2">
      <c r="A70">
        <v>69</v>
      </c>
      <c r="B70">
        <v>294.21739130434781</v>
      </c>
      <c r="C70">
        <v>298.80214240705732</v>
      </c>
      <c r="D70">
        <v>293.3</v>
      </c>
      <c r="E70">
        <v>298.83115942028991</v>
      </c>
      <c r="F70">
        <f>_xlfn.STDEV.S(D$2:D70)</f>
        <v>3.6932679360886937</v>
      </c>
      <c r="I70">
        <f t="shared" si="2"/>
        <v>297.95972569950897</v>
      </c>
      <c r="J70">
        <f t="shared" si="3"/>
        <v>299.70259314107085</v>
      </c>
    </row>
    <row r="71" spans="1:10" x14ac:dyDescent="0.2">
      <c r="A71">
        <v>70</v>
      </c>
      <c r="B71">
        <v>302.08695652173913</v>
      </c>
      <c r="C71">
        <v>298.8490683229814</v>
      </c>
      <c r="D71">
        <v>300.7</v>
      </c>
      <c r="E71">
        <v>298.85785714285709</v>
      </c>
      <c r="F71">
        <f>_xlfn.STDEV.S(D$2:D71)</f>
        <v>3.6732053264962508</v>
      </c>
      <c r="I71">
        <f t="shared" si="2"/>
        <v>297.99737021633604</v>
      </c>
      <c r="J71">
        <f t="shared" si="3"/>
        <v>299.71834406937813</v>
      </c>
    </row>
    <row r="72" spans="1:10" x14ac:dyDescent="0.2">
      <c r="A72">
        <v>71</v>
      </c>
      <c r="B72">
        <v>297.69565217391312</v>
      </c>
      <c r="C72">
        <v>298.83282302510707</v>
      </c>
      <c r="D72">
        <v>295.95</v>
      </c>
      <c r="E72">
        <v>298.81690140845069</v>
      </c>
      <c r="F72">
        <f>_xlfn.STDEV.S(D$2:D72)</f>
        <v>3.6631655286296922</v>
      </c>
      <c r="I72">
        <f t="shared" si="2"/>
        <v>297.96483104431138</v>
      </c>
      <c r="J72">
        <f t="shared" si="3"/>
        <v>299.66897177259</v>
      </c>
    </row>
    <row r="73" spans="1:10" x14ac:dyDescent="0.2">
      <c r="A73">
        <v>72</v>
      </c>
      <c r="B73">
        <v>301.08695652173913</v>
      </c>
      <c r="C73">
        <v>298.86413043478262</v>
      </c>
      <c r="D73">
        <v>300.89999999999998</v>
      </c>
      <c r="E73">
        <v>298.84583333333342</v>
      </c>
      <c r="F73">
        <f>_xlfn.STDEV.S(D$2:D73)</f>
        <v>3.645552470737655</v>
      </c>
      <c r="I73">
        <f t="shared" si="2"/>
        <v>298.00376914815632</v>
      </c>
      <c r="J73">
        <f t="shared" si="3"/>
        <v>299.68789751851051</v>
      </c>
    </row>
    <row r="74" spans="1:10" x14ac:dyDescent="0.2">
      <c r="A74">
        <v>73</v>
      </c>
      <c r="B74">
        <v>296.43478260869563</v>
      </c>
      <c r="C74">
        <v>298.83085169743902</v>
      </c>
      <c r="D74">
        <v>295.89999999999998</v>
      </c>
      <c r="E74">
        <v>298.80547945205478</v>
      </c>
      <c r="F74">
        <f>_xlfn.STDEV.S(D$2:D74)</f>
        <v>3.6365291912206223</v>
      </c>
      <c r="I74">
        <f t="shared" si="2"/>
        <v>297.97127262631142</v>
      </c>
      <c r="J74">
        <f t="shared" si="3"/>
        <v>299.63968627779815</v>
      </c>
    </row>
    <row r="75" spans="1:10" x14ac:dyDescent="0.2">
      <c r="A75">
        <v>74</v>
      </c>
      <c r="B75">
        <v>294.17391304347831</v>
      </c>
      <c r="C75">
        <v>298.76792009400702</v>
      </c>
      <c r="D75">
        <v>294.8</v>
      </c>
      <c r="E75">
        <v>298.75135135135127</v>
      </c>
      <c r="F75">
        <f>_xlfn.STDEV.S(D$2:D75)</f>
        <v>3.6414280370252778</v>
      </c>
      <c r="I75">
        <f t="shared" si="2"/>
        <v>297.92168407148131</v>
      </c>
      <c r="J75">
        <f t="shared" si="3"/>
        <v>299.58101863122124</v>
      </c>
    </row>
    <row r="76" spans="1:10" x14ac:dyDescent="0.2">
      <c r="A76">
        <v>75</v>
      </c>
      <c r="B76">
        <v>300.60869565217388</v>
      </c>
      <c r="C76">
        <v>298.79246376811602</v>
      </c>
      <c r="D76">
        <v>298.89999999999998</v>
      </c>
      <c r="E76">
        <v>298.75333333333327</v>
      </c>
      <c r="F76">
        <f>_xlfn.STDEV.S(D$2:D76)</f>
        <v>3.6167808343337042</v>
      </c>
      <c r="I76">
        <f t="shared" si="2"/>
        <v>297.93479381425084</v>
      </c>
      <c r="J76">
        <f t="shared" si="3"/>
        <v>299.57187285241571</v>
      </c>
    </row>
    <row r="77" spans="1:10" x14ac:dyDescent="0.2">
      <c r="A77">
        <v>76</v>
      </c>
      <c r="B77">
        <v>296.56521739130437</v>
      </c>
      <c r="C77">
        <v>298.76315789473682</v>
      </c>
      <c r="D77">
        <v>296.89999999999998</v>
      </c>
      <c r="E77">
        <v>298.72894736842107</v>
      </c>
      <c r="F77">
        <f>_xlfn.STDEV.S(D$2:D77)</f>
        <v>3.5988726304950442</v>
      </c>
      <c r="I77">
        <f t="shared" si="2"/>
        <v>297.91983699076826</v>
      </c>
      <c r="J77">
        <f t="shared" si="3"/>
        <v>299.53805774607389</v>
      </c>
    </row>
    <row r="78" spans="1:10" x14ac:dyDescent="0.2">
      <c r="A78">
        <v>77</v>
      </c>
      <c r="B78">
        <v>292.86956521739131</v>
      </c>
      <c r="C78">
        <v>298.68661773009597</v>
      </c>
      <c r="D78">
        <v>295.95</v>
      </c>
      <c r="E78">
        <v>298.69285714285712</v>
      </c>
      <c r="F78">
        <f>_xlfn.STDEV.S(D$2:D78)</f>
        <v>3.5891165373664027</v>
      </c>
      <c r="I78">
        <f t="shared" si="2"/>
        <v>297.89119700624593</v>
      </c>
      <c r="J78">
        <f t="shared" si="3"/>
        <v>299.49451727946831</v>
      </c>
    </row>
    <row r="79" spans="1:10" x14ac:dyDescent="0.2">
      <c r="A79">
        <v>78</v>
      </c>
      <c r="B79">
        <v>301.21739130434781</v>
      </c>
      <c r="C79">
        <v>298.7190635451505</v>
      </c>
      <c r="D79">
        <v>302.14999999999998</v>
      </c>
      <c r="E79">
        <v>298.7371794871795</v>
      </c>
      <c r="F79">
        <f>_xlfn.STDEV.S(D$2:D79)</f>
        <v>3.5871563448908446</v>
      </c>
      <c r="I79">
        <f t="shared" si="2"/>
        <v>297.94110978496354</v>
      </c>
      <c r="J79">
        <f t="shared" si="3"/>
        <v>299.53324918939546</v>
      </c>
    </row>
    <row r="80" spans="1:10" x14ac:dyDescent="0.2">
      <c r="A80">
        <v>79</v>
      </c>
      <c r="B80">
        <v>299</v>
      </c>
      <c r="C80">
        <v>298.72261970280681</v>
      </c>
      <c r="D80">
        <v>299.05</v>
      </c>
      <c r="E80">
        <v>298.7411392405063</v>
      </c>
      <c r="F80">
        <f>_xlfn.STDEV.S(D$2:D80)</f>
        <v>3.5642613459035211</v>
      </c>
      <c r="I80">
        <f t="shared" si="2"/>
        <v>297.95517264915344</v>
      </c>
      <c r="J80">
        <f t="shared" si="3"/>
        <v>299.52710583185916</v>
      </c>
    </row>
    <row r="81" spans="1:10" x14ac:dyDescent="0.2">
      <c r="A81">
        <v>80</v>
      </c>
      <c r="B81">
        <v>294.69565217391312</v>
      </c>
      <c r="C81">
        <v>298.67228260869558</v>
      </c>
      <c r="D81">
        <v>293.8</v>
      </c>
      <c r="E81">
        <v>298.67937499999999</v>
      </c>
      <c r="F81">
        <f>_xlfn.STDEV.S(D$2:D81)</f>
        <v>3.5844574272082479</v>
      </c>
      <c r="I81">
        <f t="shared" si="2"/>
        <v>297.8939105673287</v>
      </c>
      <c r="J81">
        <f t="shared" si="3"/>
        <v>299.46483943267128</v>
      </c>
    </row>
    <row r="82" spans="1:10" x14ac:dyDescent="0.2">
      <c r="A82">
        <v>81</v>
      </c>
      <c r="B82">
        <v>301.30434782608688</v>
      </c>
      <c r="C82">
        <v>298.70477724100908</v>
      </c>
      <c r="D82">
        <v>301.3</v>
      </c>
      <c r="E82">
        <v>298.71172839506181</v>
      </c>
      <c r="F82">
        <f>_xlfn.STDEV.S(D$2:D82)</f>
        <v>3.5738658306249609</v>
      </c>
      <c r="I82">
        <f t="shared" si="2"/>
        <v>297.93343413799477</v>
      </c>
      <c r="J82">
        <f t="shared" si="3"/>
        <v>299.49002265212886</v>
      </c>
    </row>
    <row r="83" spans="1:10" x14ac:dyDescent="0.2">
      <c r="A83">
        <v>82</v>
      </c>
      <c r="B83">
        <v>299.60869565217388</v>
      </c>
      <c r="C83">
        <v>298.7158006362672</v>
      </c>
      <c r="D83">
        <v>301.55</v>
      </c>
      <c r="E83">
        <v>298.74634146341458</v>
      </c>
      <c r="F83">
        <f>_xlfn.STDEV.S(D$2:D83)</f>
        <v>3.5655396323162085</v>
      </c>
      <c r="I83">
        <f t="shared" si="2"/>
        <v>297.97460959799031</v>
      </c>
      <c r="J83">
        <f t="shared" si="3"/>
        <v>299.51807332883885</v>
      </c>
    </row>
    <row r="84" spans="1:10" x14ac:dyDescent="0.2">
      <c r="A84">
        <v>83</v>
      </c>
      <c r="B84">
        <v>304.21739130434781</v>
      </c>
      <c r="C84">
        <v>298.78208486118388</v>
      </c>
      <c r="D84">
        <v>303.7</v>
      </c>
      <c r="E84">
        <v>298.80602409638561</v>
      </c>
      <c r="F84">
        <f>_xlfn.STDEV.S(D$2:D84)</f>
        <v>3.5852033108179633</v>
      </c>
      <c r="I84">
        <f t="shared" si="2"/>
        <v>298.03472498033221</v>
      </c>
      <c r="J84">
        <f t="shared" si="3"/>
        <v>299.57732321243901</v>
      </c>
    </row>
    <row r="85" spans="1:10" x14ac:dyDescent="0.2">
      <c r="A85">
        <v>84</v>
      </c>
      <c r="B85">
        <v>302.39130434782612</v>
      </c>
      <c r="C85">
        <v>298.82505175983442</v>
      </c>
      <c r="D85">
        <v>301.7</v>
      </c>
      <c r="E85">
        <v>298.84047619047618</v>
      </c>
      <c r="F85">
        <f>_xlfn.STDEV.S(D$2:D85)</f>
        <v>3.5775022937905825</v>
      </c>
      <c r="I85">
        <f t="shared" si="2"/>
        <v>298.07542874585272</v>
      </c>
      <c r="J85">
        <f t="shared" si="3"/>
        <v>299.60552363509964</v>
      </c>
    </row>
    <row r="86" spans="1:10" x14ac:dyDescent="0.2">
      <c r="A86">
        <v>85</v>
      </c>
      <c r="B86">
        <v>295.86956521739131</v>
      </c>
      <c r="C86">
        <v>298.79028132992329</v>
      </c>
      <c r="D86">
        <v>294.95</v>
      </c>
      <c r="E86">
        <v>298.79470588235301</v>
      </c>
      <c r="F86">
        <f>_xlfn.STDEV.S(D$2:D86)</f>
        <v>3.5810930720991361</v>
      </c>
      <c r="I86">
        <f t="shared" si="2"/>
        <v>298.03340867519563</v>
      </c>
      <c r="J86">
        <f t="shared" si="3"/>
        <v>299.5560030895104</v>
      </c>
    </row>
    <row r="87" spans="1:10" x14ac:dyDescent="0.2">
      <c r="A87">
        <v>86</v>
      </c>
      <c r="B87">
        <v>294.30434782608688</v>
      </c>
      <c r="C87">
        <v>298.73811931243682</v>
      </c>
      <c r="D87">
        <v>295.64999999999998</v>
      </c>
      <c r="E87">
        <v>298.75813953488381</v>
      </c>
      <c r="F87">
        <f>_xlfn.STDEV.S(D$2:D87)</f>
        <v>3.5760795199830411</v>
      </c>
      <c r="I87">
        <f t="shared" si="2"/>
        <v>298.00234102231587</v>
      </c>
      <c r="J87">
        <f t="shared" si="3"/>
        <v>299.51393804745175</v>
      </c>
    </row>
    <row r="88" spans="1:10" x14ac:dyDescent="0.2">
      <c r="A88">
        <v>87</v>
      </c>
      <c r="B88">
        <v>296.3478260869565</v>
      </c>
      <c r="C88">
        <v>298.71064467766121</v>
      </c>
      <c r="D88">
        <v>295.55</v>
      </c>
      <c r="E88">
        <v>298.7212643678161</v>
      </c>
      <c r="F88">
        <f>_xlfn.STDEV.S(D$2:D88)</f>
        <v>3.5718263859855464</v>
      </c>
      <c r="I88">
        <f t="shared" si="2"/>
        <v>297.97071579080256</v>
      </c>
      <c r="J88">
        <f t="shared" si="3"/>
        <v>299.47181294482965</v>
      </c>
    </row>
    <row r="89" spans="1:10" x14ac:dyDescent="0.2">
      <c r="A89">
        <v>88</v>
      </c>
      <c r="B89">
        <v>297.04347826086962</v>
      </c>
      <c r="C89">
        <v>298.69169960474312</v>
      </c>
      <c r="D89">
        <v>296.75</v>
      </c>
      <c r="E89">
        <v>298.69886363636363</v>
      </c>
      <c r="F89">
        <f>_xlfn.STDEV.S(D$2:D89)</f>
        <v>3.5574511189825011</v>
      </c>
      <c r="I89">
        <f t="shared" si="2"/>
        <v>297.95559518991894</v>
      </c>
      <c r="J89">
        <f t="shared" si="3"/>
        <v>299.44213208280831</v>
      </c>
    </row>
    <row r="90" spans="1:10" x14ac:dyDescent="0.2">
      <c r="A90">
        <v>89</v>
      </c>
      <c r="B90">
        <v>300.91304347826087</v>
      </c>
      <c r="C90">
        <v>298.71665852467032</v>
      </c>
      <c r="D90">
        <v>301.3</v>
      </c>
      <c r="E90">
        <v>298.72808988764052</v>
      </c>
      <c r="F90">
        <f>_xlfn.STDEV.S(D$2:D90)</f>
        <v>3.5479103569452426</v>
      </c>
      <c r="I90">
        <f t="shared" si="2"/>
        <v>297.99099105071787</v>
      </c>
      <c r="J90">
        <f t="shared" si="3"/>
        <v>299.46518872456318</v>
      </c>
    </row>
    <row r="91" spans="1:10" x14ac:dyDescent="0.2">
      <c r="A91">
        <v>90</v>
      </c>
      <c r="B91">
        <v>295.73913043478262</v>
      </c>
      <c r="C91">
        <v>298.68357487922708</v>
      </c>
      <c r="D91">
        <v>296.2</v>
      </c>
      <c r="E91">
        <v>298.7</v>
      </c>
      <c r="F91">
        <f>_xlfn.STDEV.S(D$2:D91)</f>
        <v>3.5379721862970102</v>
      </c>
      <c r="I91">
        <f t="shared" si="2"/>
        <v>297.96906080483382</v>
      </c>
      <c r="J91">
        <f t="shared" si="3"/>
        <v>299.43093919516616</v>
      </c>
    </row>
    <row r="92" spans="1:10" x14ac:dyDescent="0.2">
      <c r="A92">
        <v>91</v>
      </c>
      <c r="B92">
        <v>294.82608695652169</v>
      </c>
      <c r="C92">
        <v>298.64118490205448</v>
      </c>
      <c r="D92">
        <v>294.5</v>
      </c>
      <c r="E92">
        <v>298.65384615384608</v>
      </c>
      <c r="F92">
        <f>_xlfn.STDEV.S(D$2:D92)</f>
        <v>3.5457034309869782</v>
      </c>
      <c r="I92">
        <f t="shared" si="2"/>
        <v>297.92534574058368</v>
      </c>
      <c r="J92">
        <f t="shared" si="3"/>
        <v>299.38234656710847</v>
      </c>
    </row>
    <row r="93" spans="1:10" x14ac:dyDescent="0.2">
      <c r="A93">
        <v>92</v>
      </c>
      <c r="B93">
        <v>305.17391304347831</v>
      </c>
      <c r="C93">
        <v>298.71219281663519</v>
      </c>
      <c r="D93">
        <v>306.60000000000002</v>
      </c>
      <c r="E93">
        <v>298.74021739130433</v>
      </c>
      <c r="F93">
        <f>_xlfn.STDEV.S(D$2:D93)</f>
        <v>3.6221786226247481</v>
      </c>
      <c r="I93">
        <f t="shared" si="2"/>
        <v>298.00006006807422</v>
      </c>
      <c r="J93">
        <f t="shared" si="3"/>
        <v>299.48037471453443</v>
      </c>
    </row>
    <row r="94" spans="1:10" x14ac:dyDescent="0.2">
      <c r="A94">
        <v>93</v>
      </c>
      <c r="B94">
        <v>300.26086956521738</v>
      </c>
      <c r="C94">
        <v>298.72884525479202</v>
      </c>
      <c r="D94">
        <v>300.89999999999998</v>
      </c>
      <c r="E94">
        <v>298.76344086021498</v>
      </c>
      <c r="F94">
        <f>_xlfn.STDEV.S(D$2:D94)</f>
        <v>3.6093939918374542</v>
      </c>
      <c r="I94">
        <f t="shared" si="2"/>
        <v>298.02987196547326</v>
      </c>
      <c r="J94">
        <f t="shared" si="3"/>
        <v>299.49700975495671</v>
      </c>
    </row>
    <row r="95" spans="1:10" x14ac:dyDescent="0.2">
      <c r="A95">
        <v>94</v>
      </c>
      <c r="B95">
        <v>292.04347826086962</v>
      </c>
      <c r="C95">
        <v>298.65772432932471</v>
      </c>
      <c r="D95">
        <v>292.7</v>
      </c>
      <c r="E95">
        <v>298.69893617021279</v>
      </c>
      <c r="F95">
        <f>_xlfn.STDEV.S(D$2:D95)</f>
        <v>3.6440036082524982</v>
      </c>
      <c r="I95">
        <f t="shared" si="2"/>
        <v>297.96228316900618</v>
      </c>
      <c r="J95">
        <f t="shared" si="3"/>
        <v>299.43558917141939</v>
      </c>
    </row>
    <row r="96" spans="1:10" x14ac:dyDescent="0.2">
      <c r="A96">
        <v>95</v>
      </c>
      <c r="B96">
        <v>292.73913043478262</v>
      </c>
      <c r="C96">
        <v>298.59542334096108</v>
      </c>
      <c r="D96">
        <v>289.64999999999998</v>
      </c>
      <c r="E96">
        <v>298.6036842105263</v>
      </c>
      <c r="F96">
        <f>_xlfn.STDEV.S(D$2:D96)</f>
        <v>3.7415809187503299</v>
      </c>
      <c r="I96">
        <f t="shared" si="2"/>
        <v>297.85129695513103</v>
      </c>
      <c r="J96">
        <f t="shared" si="3"/>
        <v>299.35607146592156</v>
      </c>
    </row>
    <row r="97" spans="1:10" x14ac:dyDescent="0.2">
      <c r="A97">
        <v>96</v>
      </c>
      <c r="B97">
        <v>298.26086956521738</v>
      </c>
      <c r="C97">
        <v>298.59193840579712</v>
      </c>
      <c r="D97">
        <v>296.8</v>
      </c>
      <c r="E97">
        <v>298.58489583333329</v>
      </c>
      <c r="F97">
        <f>_xlfn.STDEV.S(D$2:D97)</f>
        <v>3.7263861411890242</v>
      </c>
      <c r="I97">
        <f t="shared" si="2"/>
        <v>297.83947705267315</v>
      </c>
      <c r="J97">
        <f t="shared" si="3"/>
        <v>299.33031461399344</v>
      </c>
    </row>
    <row r="98" spans="1:10" x14ac:dyDescent="0.2">
      <c r="A98">
        <v>97</v>
      </c>
      <c r="B98">
        <v>296.69565217391312</v>
      </c>
      <c r="C98">
        <v>298.57238906320038</v>
      </c>
      <c r="D98">
        <v>295</v>
      </c>
      <c r="E98">
        <v>298.54793814432992</v>
      </c>
      <c r="F98">
        <f>_xlfn.STDEV.S(D$2:D98)</f>
        <v>3.7247547285426341</v>
      </c>
      <c r="I98">
        <f t="shared" si="2"/>
        <v>297.80669634085325</v>
      </c>
      <c r="J98">
        <f t="shared" si="3"/>
        <v>299.28917994780659</v>
      </c>
    </row>
    <row r="99" spans="1:10" x14ac:dyDescent="0.2">
      <c r="A99">
        <v>98</v>
      </c>
      <c r="B99">
        <v>291.95652173913038</v>
      </c>
      <c r="C99">
        <v>298.50488021295467</v>
      </c>
      <c r="D99">
        <v>288.45</v>
      </c>
      <c r="E99">
        <v>298.44489795918372</v>
      </c>
      <c r="F99">
        <f>_xlfn.STDEV.S(D$2:D99)</f>
        <v>3.8433400006523448</v>
      </c>
      <c r="I99">
        <f t="shared" si="2"/>
        <v>297.68396944415798</v>
      </c>
      <c r="J99">
        <f t="shared" si="3"/>
        <v>299.20582647420946</v>
      </c>
    </row>
    <row r="100" spans="1:10" x14ac:dyDescent="0.2">
      <c r="A100">
        <v>99</v>
      </c>
      <c r="B100">
        <v>298.78260869565219</v>
      </c>
      <c r="C100">
        <v>298.50768555116377</v>
      </c>
      <c r="D100">
        <v>299.35000000000002</v>
      </c>
      <c r="E100">
        <v>298.45404040404043</v>
      </c>
      <c r="F100">
        <f>_xlfn.STDEV.S(D$2:D100)</f>
        <v>3.8247627428596411</v>
      </c>
      <c r="I100">
        <f t="shared" si="2"/>
        <v>297.70062413506577</v>
      </c>
      <c r="J100">
        <f t="shared" si="3"/>
        <v>299.20745667301509</v>
      </c>
    </row>
    <row r="101" spans="1:10" x14ac:dyDescent="0.2">
      <c r="A101">
        <v>100</v>
      </c>
      <c r="B101">
        <v>300.21739130434781</v>
      </c>
      <c r="C101">
        <v>298.52478260869572</v>
      </c>
      <c r="D101">
        <v>299.64999999999998</v>
      </c>
      <c r="E101">
        <v>298.46600000000001</v>
      </c>
      <c r="F101">
        <f>_xlfn.STDEV.S(D$2:D101)</f>
        <v>3.8072755974249484</v>
      </c>
      <c r="I101">
        <f t="shared" si="2"/>
        <v>297.71978769498287</v>
      </c>
      <c r="J101">
        <f t="shared" si="3"/>
        <v>299.21221230501715</v>
      </c>
    </row>
    <row r="103" spans="1:10" x14ac:dyDescent="0.2">
      <c r="A103" t="s">
        <v>3</v>
      </c>
      <c r="B103">
        <v>298.52478260869572</v>
      </c>
      <c r="D103">
        <v>298.46600000000001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3"/>
  <sheetViews>
    <sheetView tabSelected="1" workbookViewId="0">
      <selection activeCell="Q9" sqref="Q9"/>
    </sheetView>
  </sheetViews>
  <sheetFormatPr baseColWidth="10" defaultColWidth="8.83203125" defaultRowHeight="15" x14ac:dyDescent="0.2"/>
  <cols>
    <col min="4" max="4" width="30" bestFit="1" customWidth="1"/>
    <col min="5" max="5" width="21.6640625" bestFit="1" customWidth="1"/>
    <col min="12" max="12" width="12.5" bestFit="1" customWidth="1"/>
    <col min="14" max="14" width="13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12</v>
      </c>
      <c r="E1" t="s">
        <v>11</v>
      </c>
      <c r="F1" t="s">
        <v>5</v>
      </c>
      <c r="G1" t="s">
        <v>4</v>
      </c>
      <c r="H1">
        <f>((NORMINV(0.975,0,1)*F101)/1)^2</f>
        <v>28.516556390848091</v>
      </c>
      <c r="I1" t="s">
        <v>6</v>
      </c>
      <c r="J1" t="s">
        <v>7</v>
      </c>
      <c r="L1" t="s">
        <v>4</v>
      </c>
      <c r="M1">
        <f>H2</f>
        <v>29</v>
      </c>
    </row>
    <row r="2" spans="1:14" x14ac:dyDescent="0.2">
      <c r="A2">
        <v>1</v>
      </c>
      <c r="B2">
        <v>319.86956521739131</v>
      </c>
      <c r="C2">
        <v>319.86956521739131</v>
      </c>
      <c r="D2">
        <v>319.25</v>
      </c>
      <c r="E2">
        <v>319.25</v>
      </c>
      <c r="F2">
        <v>0</v>
      </c>
      <c r="H2">
        <v>29</v>
      </c>
      <c r="I2">
        <f>E2-(NORMINV(0.975,0,1)*F2/SQRT(A2))</f>
        <v>319.25</v>
      </c>
      <c r="J2">
        <f>E2+(NORMINV(0.975,0,1)*F2/SQRT(A2))</f>
        <v>319.25</v>
      </c>
      <c r="L2" t="s">
        <v>8</v>
      </c>
      <c r="M2">
        <f>D30</f>
        <v>313.5</v>
      </c>
    </row>
    <row r="3" spans="1:14" x14ac:dyDescent="0.2">
      <c r="A3">
        <v>2</v>
      </c>
      <c r="B3">
        <v>316.08695652173913</v>
      </c>
      <c r="C3">
        <v>317.97826086956519</v>
      </c>
      <c r="D3">
        <v>315.5</v>
      </c>
      <c r="E3">
        <v>317.375</v>
      </c>
      <c r="F3">
        <f>_xlfn.STDEV.S(D$2:D3)</f>
        <v>2.6516504294495533</v>
      </c>
      <c r="I3">
        <f t="shared" ref="I3:I66" si="0">E3-(NORMINV(0.975,0,1)*F3/SQRT(A3))</f>
        <v>313.7000675289874</v>
      </c>
      <c r="J3">
        <f t="shared" ref="J3:J66" si="1">E3+(NORMINV(0.975,0,1)*F3/SQRT(A3))</f>
        <v>321.0499324710126</v>
      </c>
      <c r="L3" t="s">
        <v>9</v>
      </c>
      <c r="M3">
        <f>F30</f>
        <v>2.5174844254756161</v>
      </c>
    </row>
    <row r="4" spans="1:14" x14ac:dyDescent="0.2">
      <c r="A4">
        <v>3</v>
      </c>
      <c r="B4">
        <v>311.30434782608688</v>
      </c>
      <c r="C4">
        <v>315.75362318840581</v>
      </c>
      <c r="D4">
        <v>311.5</v>
      </c>
      <c r="E4">
        <v>315.41666666666669</v>
      </c>
      <c r="F4">
        <f>_xlfn.STDEV.S(D$2:D4)</f>
        <v>3.8756719847444949</v>
      </c>
      <c r="I4">
        <f t="shared" si="0"/>
        <v>311.03101153877111</v>
      </c>
      <c r="J4">
        <f t="shared" si="1"/>
        <v>319.80232179456226</v>
      </c>
      <c r="L4" t="s">
        <v>14</v>
      </c>
      <c r="M4">
        <f>_xlfn.T.INV.2T(0.05,28)</f>
        <v>2.0484071417952445</v>
      </c>
      <c r="N4" t="s">
        <v>15</v>
      </c>
    </row>
    <row r="5" spans="1:14" x14ac:dyDescent="0.2">
      <c r="A5">
        <v>4</v>
      </c>
      <c r="B5">
        <v>315.95652173913038</v>
      </c>
      <c r="C5">
        <v>315.80434782608688</v>
      </c>
      <c r="D5">
        <v>314.5</v>
      </c>
      <c r="E5">
        <v>315.1875</v>
      </c>
      <c r="F5">
        <f>_xlfn.STDEV.S(D$2:D5)</f>
        <v>3.1974925071582785</v>
      </c>
      <c r="I5">
        <f t="shared" si="0"/>
        <v>312.05401492256652</v>
      </c>
      <c r="J5">
        <f t="shared" si="1"/>
        <v>318.32098507743348</v>
      </c>
      <c r="L5" t="s">
        <v>10</v>
      </c>
      <c r="M5">
        <f>M3/SQRT(M1)</f>
        <v>0.46748512174415568</v>
      </c>
      <c r="N5" t="str">
        <f>"st dev/wortel(n)"</f>
        <v>st dev/wortel(n)</v>
      </c>
    </row>
    <row r="6" spans="1:14" x14ac:dyDescent="0.2">
      <c r="A6">
        <v>5</v>
      </c>
      <c r="B6">
        <v>315.43478260869563</v>
      </c>
      <c r="C6">
        <v>315.73043478260871</v>
      </c>
      <c r="D6">
        <v>315.25</v>
      </c>
      <c r="E6">
        <v>315.2</v>
      </c>
      <c r="F6">
        <f>_xlfn.STDEV.S(D$2:D6)</f>
        <v>2.7692508012095978</v>
      </c>
      <c r="I6">
        <f t="shared" si="0"/>
        <v>312.77268925223001</v>
      </c>
      <c r="J6">
        <f t="shared" si="1"/>
        <v>317.62731074776997</v>
      </c>
    </row>
    <row r="7" spans="1:14" x14ac:dyDescent="0.2">
      <c r="A7">
        <v>6</v>
      </c>
      <c r="B7">
        <v>315.52173913043481</v>
      </c>
      <c r="C7">
        <v>315.69565217391312</v>
      </c>
      <c r="D7">
        <v>315.5</v>
      </c>
      <c r="E7">
        <v>315.25</v>
      </c>
      <c r="F7">
        <f>_xlfn.STDEV.S(D$2:D7)</f>
        <v>2.4799193535274489</v>
      </c>
      <c r="I7">
        <f t="shared" si="0"/>
        <v>313.26568770320512</v>
      </c>
      <c r="J7">
        <f t="shared" si="1"/>
        <v>317.23431229679488</v>
      </c>
    </row>
    <row r="8" spans="1:14" x14ac:dyDescent="0.2">
      <c r="A8">
        <v>7</v>
      </c>
      <c r="B8">
        <v>318.04347826086962</v>
      </c>
      <c r="C8">
        <v>316.03105590062108</v>
      </c>
      <c r="D8">
        <v>317.25</v>
      </c>
      <c r="E8">
        <v>315.53571428571428</v>
      </c>
      <c r="F8">
        <f>_xlfn.STDEV.S(D$2:D8)</f>
        <v>2.3867192066576606</v>
      </c>
      <c r="I8">
        <f t="shared" si="0"/>
        <v>313.76764044343895</v>
      </c>
      <c r="J8">
        <f t="shared" si="1"/>
        <v>317.30378812798961</v>
      </c>
    </row>
    <row r="9" spans="1:14" x14ac:dyDescent="0.2">
      <c r="A9">
        <v>8</v>
      </c>
      <c r="B9">
        <v>314.78260869565219</v>
      </c>
      <c r="C9">
        <v>315.875</v>
      </c>
      <c r="D9">
        <v>314.14999999999998</v>
      </c>
      <c r="E9">
        <v>315.36250000000001</v>
      </c>
      <c r="F9">
        <f>_xlfn.STDEV.S(D$2:D9)</f>
        <v>2.2633335086611912</v>
      </c>
      <c r="I9">
        <f t="shared" si="0"/>
        <v>313.79411871728388</v>
      </c>
      <c r="J9">
        <f t="shared" si="1"/>
        <v>316.93088128271614</v>
      </c>
    </row>
    <row r="10" spans="1:14" x14ac:dyDescent="0.2">
      <c r="A10">
        <v>9</v>
      </c>
      <c r="B10">
        <v>315.6521739130435</v>
      </c>
      <c r="C10">
        <v>315.85024154589371</v>
      </c>
      <c r="D10">
        <v>316.14999999999998</v>
      </c>
      <c r="E10">
        <v>315.45</v>
      </c>
      <c r="F10">
        <f>_xlfn.STDEV.S(D$2:D10)</f>
        <v>2.1333658851683182</v>
      </c>
      <c r="I10">
        <f t="shared" si="0"/>
        <v>314.05622656640787</v>
      </c>
      <c r="J10">
        <f t="shared" si="1"/>
        <v>316.8437734335921</v>
      </c>
    </row>
    <row r="11" spans="1:14" x14ac:dyDescent="0.2">
      <c r="A11">
        <v>10</v>
      </c>
      <c r="B11">
        <v>317.60869565217388</v>
      </c>
      <c r="C11">
        <v>316.02608695652168</v>
      </c>
      <c r="D11">
        <v>317.89999999999998</v>
      </c>
      <c r="E11">
        <v>315.69499999999999</v>
      </c>
      <c r="F11">
        <f>_xlfn.STDEV.S(D$2:D11)</f>
        <v>2.1554130823476849</v>
      </c>
      <c r="I11">
        <f t="shared" si="0"/>
        <v>314.35908567899662</v>
      </c>
      <c r="J11">
        <f t="shared" si="1"/>
        <v>317.03091432100337</v>
      </c>
    </row>
    <row r="12" spans="1:14" x14ac:dyDescent="0.2">
      <c r="A12">
        <v>11</v>
      </c>
      <c r="B12">
        <v>312.04347826086962</v>
      </c>
      <c r="C12">
        <v>315.66403162055337</v>
      </c>
      <c r="D12">
        <v>310.85000000000002</v>
      </c>
      <c r="E12">
        <v>315.25454545454551</v>
      </c>
      <c r="F12">
        <f>_xlfn.STDEV.S(D$2:D12)</f>
        <v>2.5130115942285745</v>
      </c>
      <c r="I12">
        <f t="shared" si="0"/>
        <v>313.76947779427161</v>
      </c>
      <c r="J12">
        <f t="shared" si="1"/>
        <v>316.73961311481941</v>
      </c>
    </row>
    <row r="13" spans="1:14" x14ac:dyDescent="0.2">
      <c r="A13">
        <v>12</v>
      </c>
      <c r="B13">
        <v>315.6521739130435</v>
      </c>
      <c r="C13">
        <v>315.66304347826087</v>
      </c>
      <c r="D13">
        <v>314.25</v>
      </c>
      <c r="E13">
        <v>315.17083333333329</v>
      </c>
      <c r="F13">
        <f>_xlfn.STDEV.S(D$2:D13)</f>
        <v>2.4135468367805304</v>
      </c>
      <c r="I13">
        <f t="shared" si="0"/>
        <v>313.80526574882055</v>
      </c>
      <c r="J13">
        <f t="shared" si="1"/>
        <v>316.53640091784604</v>
      </c>
    </row>
    <row r="14" spans="1:14" x14ac:dyDescent="0.2">
      <c r="A14">
        <v>13</v>
      </c>
      <c r="B14">
        <v>313.91304347826087</v>
      </c>
      <c r="C14">
        <v>315.52842809364552</v>
      </c>
      <c r="D14">
        <v>314.75</v>
      </c>
      <c r="E14">
        <v>315.13846153846163</v>
      </c>
      <c r="F14">
        <f>_xlfn.STDEV.S(D$2:D14)</f>
        <v>2.3137410044984317</v>
      </c>
      <c r="I14">
        <f t="shared" si="0"/>
        <v>313.88072071274371</v>
      </c>
      <c r="J14">
        <f t="shared" si="1"/>
        <v>316.39620236417954</v>
      </c>
    </row>
    <row r="15" spans="1:14" x14ac:dyDescent="0.2">
      <c r="A15">
        <v>14</v>
      </c>
      <c r="B15">
        <v>313.26086956521738</v>
      </c>
      <c r="C15">
        <v>315.36645962732922</v>
      </c>
      <c r="D15">
        <v>312.75</v>
      </c>
      <c r="E15">
        <v>314.96785714285721</v>
      </c>
      <c r="F15">
        <f>_xlfn.STDEV.S(D$2:D15)</f>
        <v>2.312807746080431</v>
      </c>
      <c r="I15">
        <f t="shared" si="0"/>
        <v>313.75635661864936</v>
      </c>
      <c r="J15">
        <f t="shared" si="1"/>
        <v>316.17935766706506</v>
      </c>
    </row>
    <row r="16" spans="1:14" x14ac:dyDescent="0.2">
      <c r="A16">
        <v>15</v>
      </c>
      <c r="B16">
        <v>312.82608695652169</v>
      </c>
      <c r="C16">
        <v>315.19710144927541</v>
      </c>
      <c r="D16">
        <v>313</v>
      </c>
      <c r="E16">
        <v>314.8366666666667</v>
      </c>
      <c r="F16">
        <f>_xlfn.STDEV.S(D$2:D16)</f>
        <v>2.2858623463950405</v>
      </c>
      <c r="I16">
        <f t="shared" si="0"/>
        <v>313.67988196813769</v>
      </c>
      <c r="J16">
        <f t="shared" si="1"/>
        <v>315.99345136519571</v>
      </c>
    </row>
    <row r="17" spans="1:10" x14ac:dyDescent="0.2">
      <c r="A17">
        <v>16</v>
      </c>
      <c r="B17">
        <v>314.78260869565219</v>
      </c>
      <c r="C17">
        <v>315.17119565217388</v>
      </c>
      <c r="D17">
        <v>315.25</v>
      </c>
      <c r="E17">
        <v>314.86250000000001</v>
      </c>
      <c r="F17">
        <f>_xlfn.STDEV.S(D$2:D17)</f>
        <v>2.2107690969434093</v>
      </c>
      <c r="I17">
        <f t="shared" si="0"/>
        <v>313.7792430479642</v>
      </c>
      <c r="J17">
        <f t="shared" si="1"/>
        <v>315.94575695203582</v>
      </c>
    </row>
    <row r="18" spans="1:10" x14ac:dyDescent="0.2">
      <c r="A18">
        <v>17</v>
      </c>
      <c r="B18">
        <v>314.3478260869565</v>
      </c>
      <c r="C18">
        <v>315.12276214833759</v>
      </c>
      <c r="D18">
        <v>313.25</v>
      </c>
      <c r="E18">
        <v>314.76764705882351</v>
      </c>
      <c r="F18">
        <f>_xlfn.STDEV.S(D$2:D18)</f>
        <v>2.1760012908192485</v>
      </c>
      <c r="I18">
        <f t="shared" si="0"/>
        <v>313.73326071329313</v>
      </c>
      <c r="J18">
        <f t="shared" si="1"/>
        <v>315.80203340435389</v>
      </c>
    </row>
    <row r="19" spans="1:10" x14ac:dyDescent="0.2">
      <c r="A19">
        <v>18</v>
      </c>
      <c r="B19">
        <v>319.3478260869565</v>
      </c>
      <c r="C19">
        <v>315.35748792270527</v>
      </c>
      <c r="D19">
        <v>320.39999999999998</v>
      </c>
      <c r="E19">
        <v>315.08055555555552</v>
      </c>
      <c r="F19">
        <f>_xlfn.STDEV.S(D$2:D19)</f>
        <v>2.4937651010239383</v>
      </c>
      <c r="I19">
        <f t="shared" si="0"/>
        <v>313.92851602537593</v>
      </c>
      <c r="J19">
        <f t="shared" si="1"/>
        <v>316.23259508573511</v>
      </c>
    </row>
    <row r="20" spans="1:10" x14ac:dyDescent="0.2">
      <c r="A20">
        <v>19</v>
      </c>
      <c r="B20">
        <v>313.69565217391312</v>
      </c>
      <c r="C20">
        <v>315.27002288329521</v>
      </c>
      <c r="D20">
        <v>313.25</v>
      </c>
      <c r="E20">
        <v>314.98421052631579</v>
      </c>
      <c r="F20">
        <f>_xlfn.STDEV.S(D$2:D20)</f>
        <v>2.4596212802188124</v>
      </c>
      <c r="I20">
        <f t="shared" si="0"/>
        <v>313.87825023972073</v>
      </c>
      <c r="J20">
        <f t="shared" si="1"/>
        <v>316.09017081291086</v>
      </c>
    </row>
    <row r="21" spans="1:10" x14ac:dyDescent="0.2">
      <c r="A21">
        <v>20</v>
      </c>
      <c r="B21">
        <v>314.21739130434781</v>
      </c>
      <c r="C21">
        <v>315.21739130434793</v>
      </c>
      <c r="D21">
        <v>315</v>
      </c>
      <c r="E21">
        <v>314.98500000000001</v>
      </c>
      <c r="F21">
        <f>_xlfn.STDEV.S(D$2:D21)</f>
        <v>2.3940221605622467</v>
      </c>
      <c r="I21">
        <f t="shared" si="0"/>
        <v>313.93579280681371</v>
      </c>
      <c r="J21">
        <f t="shared" si="1"/>
        <v>316.03420719318632</v>
      </c>
    </row>
    <row r="22" spans="1:10" x14ac:dyDescent="0.2">
      <c r="A22">
        <v>21</v>
      </c>
      <c r="B22">
        <v>322.47826086956519</v>
      </c>
      <c r="C22">
        <v>315.56314699792961</v>
      </c>
      <c r="D22">
        <v>322</v>
      </c>
      <c r="E22">
        <v>315.31904761904758</v>
      </c>
      <c r="F22">
        <f>_xlfn.STDEV.S(D$2:D22)</f>
        <v>2.7907201664837373</v>
      </c>
      <c r="I22">
        <f t="shared" si="0"/>
        <v>314.12545882066541</v>
      </c>
      <c r="J22">
        <f t="shared" si="1"/>
        <v>316.51263641742975</v>
      </c>
    </row>
    <row r="23" spans="1:10" x14ac:dyDescent="0.2">
      <c r="A23">
        <v>22</v>
      </c>
      <c r="B23">
        <v>315</v>
      </c>
      <c r="C23">
        <v>315.53754940711462</v>
      </c>
      <c r="D23">
        <v>314.14999999999998</v>
      </c>
      <c r="E23">
        <v>315.26590909090908</v>
      </c>
      <c r="F23">
        <f>_xlfn.STDEV.S(D$2:D23)</f>
        <v>2.7348450971906395</v>
      </c>
      <c r="I23">
        <f t="shared" si="0"/>
        <v>314.12311106014528</v>
      </c>
      <c r="J23">
        <f t="shared" si="1"/>
        <v>316.40870712167288</v>
      </c>
    </row>
    <row r="24" spans="1:10" x14ac:dyDescent="0.2">
      <c r="A24">
        <v>23</v>
      </c>
      <c r="B24">
        <v>318.04347826086962</v>
      </c>
      <c r="C24">
        <v>315.64650283553868</v>
      </c>
      <c r="D24">
        <v>317.89999999999998</v>
      </c>
      <c r="E24">
        <v>315.38043478260869</v>
      </c>
      <c r="F24">
        <f>_xlfn.STDEV.S(D$2:D24)</f>
        <v>2.7278337696968973</v>
      </c>
      <c r="I24">
        <f t="shared" si="0"/>
        <v>314.26562165407637</v>
      </c>
      <c r="J24">
        <f t="shared" si="1"/>
        <v>316.49524791114101</v>
      </c>
    </row>
    <row r="25" spans="1:10" x14ac:dyDescent="0.2">
      <c r="A25">
        <v>24</v>
      </c>
      <c r="B25">
        <v>314.13043478260869</v>
      </c>
      <c r="C25">
        <v>315.58333333333331</v>
      </c>
      <c r="D25">
        <v>316</v>
      </c>
      <c r="E25">
        <v>315.40625</v>
      </c>
      <c r="F25">
        <f>_xlfn.STDEV.S(D$2:D25)</f>
        <v>2.670869932372625</v>
      </c>
      <c r="I25">
        <f t="shared" si="0"/>
        <v>314.33769911297048</v>
      </c>
      <c r="J25">
        <f t="shared" si="1"/>
        <v>316.47480088702952</v>
      </c>
    </row>
    <row r="26" spans="1:10" x14ac:dyDescent="0.2">
      <c r="A26">
        <v>25</v>
      </c>
      <c r="B26">
        <v>314</v>
      </c>
      <c r="C26">
        <v>315.52</v>
      </c>
      <c r="D26">
        <v>313.75</v>
      </c>
      <c r="E26">
        <v>315.33999999999997</v>
      </c>
      <c r="F26">
        <f>_xlfn.STDEV.S(D$2:D26)</f>
        <v>2.6355344176592803</v>
      </c>
      <c r="I26">
        <f t="shared" si="0"/>
        <v>314.30688949227437</v>
      </c>
      <c r="J26">
        <f t="shared" si="1"/>
        <v>316.37311050772558</v>
      </c>
    </row>
    <row r="27" spans="1:10" x14ac:dyDescent="0.2">
      <c r="A27">
        <v>26</v>
      </c>
      <c r="B27">
        <v>314.13043478260869</v>
      </c>
      <c r="C27">
        <v>315.46655518394653</v>
      </c>
      <c r="D27">
        <v>314.5</v>
      </c>
      <c r="E27">
        <v>315.30769230769232</v>
      </c>
      <c r="F27">
        <f>_xlfn.STDEV.S(D$2:D27)</f>
        <v>2.5875352097195581</v>
      </c>
      <c r="I27">
        <f t="shared" si="0"/>
        <v>314.31309407047041</v>
      </c>
      <c r="J27">
        <f t="shared" si="1"/>
        <v>316.30229054491423</v>
      </c>
    </row>
    <row r="28" spans="1:10" x14ac:dyDescent="0.2">
      <c r="A28">
        <v>27</v>
      </c>
      <c r="B28">
        <v>317.82608695652169</v>
      </c>
      <c r="C28">
        <v>315.5539452495974</v>
      </c>
      <c r="D28">
        <v>317.64999999999998</v>
      </c>
      <c r="E28">
        <v>315.39444444444439</v>
      </c>
      <c r="F28">
        <f>_xlfn.STDEV.S(D$2:D28)</f>
        <v>2.5770187506158382</v>
      </c>
      <c r="I28">
        <f t="shared" si="0"/>
        <v>314.42240522622984</v>
      </c>
      <c r="J28">
        <f t="shared" si="1"/>
        <v>316.36648366265894</v>
      </c>
    </row>
    <row r="29" spans="1:10" x14ac:dyDescent="0.2">
      <c r="A29">
        <v>28</v>
      </c>
      <c r="B29">
        <v>316.60869565217388</v>
      </c>
      <c r="C29">
        <v>315.59161490683232</v>
      </c>
      <c r="D29">
        <v>316.5</v>
      </c>
      <c r="E29">
        <v>315.43392857142862</v>
      </c>
      <c r="F29">
        <f>_xlfn.STDEV.S(D$2:D29)</f>
        <v>2.5374620439207751</v>
      </c>
      <c r="I29">
        <f t="shared" si="0"/>
        <v>314.49405674798408</v>
      </c>
      <c r="J29">
        <f t="shared" si="1"/>
        <v>316.37380039487317</v>
      </c>
    </row>
    <row r="30" spans="1:10" s="1" customFormat="1" x14ac:dyDescent="0.2">
      <c r="A30" s="1">
        <v>29</v>
      </c>
      <c r="B30" s="1">
        <v>314.13043478260869</v>
      </c>
      <c r="C30" s="1">
        <v>315.54122938530742</v>
      </c>
      <c r="D30" s="1">
        <v>313.5</v>
      </c>
      <c r="E30" s="1">
        <v>315.36724137931031</v>
      </c>
      <c r="F30" s="1">
        <f>_xlfn.STDEV.S(D$2:D30)</f>
        <v>2.5174844254756161</v>
      </c>
      <c r="I30" s="1">
        <f t="shared" si="0"/>
        <v>314.45098737738346</v>
      </c>
      <c r="J30" s="1">
        <f t="shared" si="1"/>
        <v>316.28349538123717</v>
      </c>
    </row>
    <row r="31" spans="1:10" x14ac:dyDescent="0.2">
      <c r="A31">
        <v>30</v>
      </c>
      <c r="B31">
        <v>316.95652173913038</v>
      </c>
      <c r="C31">
        <v>315.58840579710147</v>
      </c>
      <c r="D31">
        <v>317</v>
      </c>
      <c r="E31">
        <v>315.42166666666668</v>
      </c>
      <c r="F31">
        <f>_xlfn.STDEV.S(D$2:D31)</f>
        <v>2.4915956434732118</v>
      </c>
      <c r="I31">
        <f t="shared" si="0"/>
        <v>314.530076999904</v>
      </c>
      <c r="J31">
        <f t="shared" si="1"/>
        <v>316.31325633342936</v>
      </c>
    </row>
    <row r="32" spans="1:10" x14ac:dyDescent="0.2">
      <c r="A32">
        <v>31</v>
      </c>
      <c r="B32">
        <v>318.69565217391312</v>
      </c>
      <c r="C32">
        <v>315.68863955119213</v>
      </c>
      <c r="D32">
        <v>318.5</v>
      </c>
      <c r="E32">
        <v>315.52096774193552</v>
      </c>
      <c r="F32">
        <f>_xlfn.STDEV.S(D$2:D32)</f>
        <v>2.511333450365504</v>
      </c>
      <c r="I32">
        <f t="shared" si="0"/>
        <v>314.63692833309364</v>
      </c>
      <c r="J32">
        <f t="shared" si="1"/>
        <v>316.40500715077741</v>
      </c>
    </row>
    <row r="33" spans="1:10" x14ac:dyDescent="0.2">
      <c r="A33">
        <v>32</v>
      </c>
      <c r="B33">
        <v>311.95652173913038</v>
      </c>
      <c r="C33">
        <v>315.57201086956519</v>
      </c>
      <c r="D33">
        <v>312.89999999999998</v>
      </c>
      <c r="E33">
        <v>315.43906249999998</v>
      </c>
      <c r="F33">
        <f>_xlfn.STDEV.S(D$2:D33)</f>
        <v>2.513567519162172</v>
      </c>
      <c r="I33">
        <f t="shared" si="0"/>
        <v>314.56817179060801</v>
      </c>
      <c r="J33">
        <f t="shared" si="1"/>
        <v>316.30995320939195</v>
      </c>
    </row>
    <row r="34" spans="1:10" x14ac:dyDescent="0.2">
      <c r="A34">
        <v>33</v>
      </c>
      <c r="B34">
        <v>315.43478260869563</v>
      </c>
      <c r="C34">
        <v>315.56785243741763</v>
      </c>
      <c r="D34">
        <v>315.39999999999998</v>
      </c>
      <c r="E34">
        <v>315.43787878787879</v>
      </c>
      <c r="F34">
        <f>_xlfn.STDEV.S(D$2:D34)</f>
        <v>2.4739906497091835</v>
      </c>
      <c r="I34">
        <f t="shared" si="0"/>
        <v>314.59378797194154</v>
      </c>
      <c r="J34">
        <f t="shared" si="1"/>
        <v>316.28196960381604</v>
      </c>
    </row>
    <row r="35" spans="1:10" x14ac:dyDescent="0.2">
      <c r="A35">
        <v>34</v>
      </c>
      <c r="B35">
        <v>315.08695652173913</v>
      </c>
      <c r="C35">
        <v>315.55370843989772</v>
      </c>
      <c r="D35">
        <v>315.75</v>
      </c>
      <c r="E35">
        <v>315.44705882352952</v>
      </c>
      <c r="F35">
        <f>_xlfn.STDEV.S(D$2:D35)</f>
        <v>2.4368055709010332</v>
      </c>
      <c r="I35">
        <f t="shared" si="0"/>
        <v>314.6279728076571</v>
      </c>
      <c r="J35">
        <f t="shared" si="1"/>
        <v>316.26614483940193</v>
      </c>
    </row>
    <row r="36" spans="1:10" x14ac:dyDescent="0.2">
      <c r="A36">
        <v>35</v>
      </c>
      <c r="B36">
        <v>313.26086956521738</v>
      </c>
      <c r="C36">
        <v>315.488198757764</v>
      </c>
      <c r="D36">
        <v>312.89999999999998</v>
      </c>
      <c r="E36">
        <v>315.37428571428569</v>
      </c>
      <c r="F36">
        <f>_xlfn.STDEV.S(D$2:D36)</f>
        <v>2.4390020689693896</v>
      </c>
      <c r="I36">
        <f t="shared" si="0"/>
        <v>314.56625803571131</v>
      </c>
      <c r="J36">
        <f t="shared" si="1"/>
        <v>316.18231339286007</v>
      </c>
    </row>
    <row r="37" spans="1:10" x14ac:dyDescent="0.2">
      <c r="A37">
        <v>36</v>
      </c>
      <c r="B37">
        <v>314.13043478260869</v>
      </c>
      <c r="C37">
        <v>315.45048309178742</v>
      </c>
      <c r="D37">
        <v>312.5</v>
      </c>
      <c r="E37">
        <v>315.29444444444448</v>
      </c>
      <c r="F37">
        <f>_xlfn.STDEV.S(D$2:D37)</f>
        <v>2.4511739979556642</v>
      </c>
      <c r="I37">
        <f t="shared" si="0"/>
        <v>314.49374231847213</v>
      </c>
      <c r="J37">
        <f t="shared" si="1"/>
        <v>316.09514657041683</v>
      </c>
    </row>
    <row r="38" spans="1:10" x14ac:dyDescent="0.2">
      <c r="A38">
        <v>37</v>
      </c>
      <c r="B38">
        <v>316.60869565217388</v>
      </c>
      <c r="C38">
        <v>315.48178613395999</v>
      </c>
      <c r="D38">
        <v>315.75</v>
      </c>
      <c r="E38">
        <v>315.30675675675678</v>
      </c>
      <c r="F38">
        <f>_xlfn.STDEV.S(D$2:D38)</f>
        <v>2.4180502407863558</v>
      </c>
      <c r="I38">
        <f t="shared" si="0"/>
        <v>314.52762205255891</v>
      </c>
      <c r="J38">
        <f t="shared" si="1"/>
        <v>316.08589146095466</v>
      </c>
    </row>
    <row r="39" spans="1:10" x14ac:dyDescent="0.2">
      <c r="A39">
        <v>38</v>
      </c>
      <c r="B39">
        <v>321.17391304347831</v>
      </c>
      <c r="C39">
        <v>315.63157894736838</v>
      </c>
      <c r="D39">
        <v>322.60000000000002</v>
      </c>
      <c r="E39">
        <v>315.49868421052628</v>
      </c>
      <c r="F39">
        <f>_xlfn.STDEV.S(D$2:D39)</f>
        <v>2.6624639787464415</v>
      </c>
      <c r="I39">
        <f t="shared" si="0"/>
        <v>314.65215873284666</v>
      </c>
      <c r="J39">
        <f t="shared" si="1"/>
        <v>316.3452096882059</v>
      </c>
    </row>
    <row r="40" spans="1:10" x14ac:dyDescent="0.2">
      <c r="A40">
        <v>39</v>
      </c>
      <c r="B40">
        <v>315</v>
      </c>
      <c r="C40">
        <v>315.61538461538458</v>
      </c>
      <c r="D40">
        <v>313.75</v>
      </c>
      <c r="E40">
        <v>315.4538461538462</v>
      </c>
      <c r="F40">
        <f>_xlfn.STDEV.S(D$2:D40)</f>
        <v>2.6420781447710673</v>
      </c>
      <c r="I40">
        <f t="shared" si="0"/>
        <v>314.62464204370559</v>
      </c>
      <c r="J40">
        <f t="shared" si="1"/>
        <v>316.28305026398681</v>
      </c>
    </row>
    <row r="41" spans="1:10" x14ac:dyDescent="0.2">
      <c r="A41">
        <v>40</v>
      </c>
      <c r="B41">
        <v>316.52173913043481</v>
      </c>
      <c r="C41">
        <v>315.63804347826078</v>
      </c>
      <c r="D41">
        <v>317.5</v>
      </c>
      <c r="E41">
        <v>315.505</v>
      </c>
      <c r="F41">
        <f>_xlfn.STDEV.S(D$2:D41)</f>
        <v>2.627975724822512</v>
      </c>
      <c r="I41">
        <f t="shared" si="0"/>
        <v>314.69059685036899</v>
      </c>
      <c r="J41">
        <f t="shared" si="1"/>
        <v>316.319403149631</v>
      </c>
    </row>
    <row r="42" spans="1:10" x14ac:dyDescent="0.2">
      <c r="A42">
        <v>41</v>
      </c>
      <c r="B42">
        <v>315.95652173913038</v>
      </c>
      <c r="C42">
        <v>315.64581124072112</v>
      </c>
      <c r="D42">
        <v>317</v>
      </c>
      <c r="E42">
        <v>315.54146341463422</v>
      </c>
      <c r="F42">
        <f>_xlfn.STDEV.S(D$2:D42)</f>
        <v>2.6054006994852141</v>
      </c>
      <c r="I42">
        <f t="shared" si="0"/>
        <v>314.74396342136004</v>
      </c>
      <c r="J42">
        <f t="shared" si="1"/>
        <v>316.33896340790841</v>
      </c>
    </row>
    <row r="43" spans="1:10" x14ac:dyDescent="0.2">
      <c r="A43">
        <v>42</v>
      </c>
      <c r="B43">
        <v>317.26086956521738</v>
      </c>
      <c r="C43">
        <v>315.68426501035202</v>
      </c>
      <c r="D43">
        <v>317.85000000000002</v>
      </c>
      <c r="E43">
        <v>315.59642857142848</v>
      </c>
      <c r="F43">
        <f>_xlfn.STDEV.S(D$2:D43)</f>
        <v>2.597968081657299</v>
      </c>
      <c r="I43">
        <f t="shared" si="0"/>
        <v>314.81072766006753</v>
      </c>
      <c r="J43">
        <f t="shared" si="1"/>
        <v>316.38212948278942</v>
      </c>
    </row>
    <row r="44" spans="1:10" x14ac:dyDescent="0.2">
      <c r="A44">
        <v>43</v>
      </c>
      <c r="B44">
        <v>313.04347826086962</v>
      </c>
      <c r="C44">
        <v>315.62285136501521</v>
      </c>
      <c r="D44">
        <v>311.64999999999998</v>
      </c>
      <c r="E44">
        <v>315.50465116279071</v>
      </c>
      <c r="F44">
        <f>_xlfn.STDEV.S(D$2:D44)</f>
        <v>2.6364616880505096</v>
      </c>
      <c r="I44">
        <f t="shared" si="0"/>
        <v>314.71663463224326</v>
      </c>
      <c r="J44">
        <f t="shared" si="1"/>
        <v>316.29266769333816</v>
      </c>
    </row>
    <row r="45" spans="1:10" x14ac:dyDescent="0.2">
      <c r="A45">
        <v>44</v>
      </c>
      <c r="B45">
        <v>315.43478260869563</v>
      </c>
      <c r="C45">
        <v>315.61857707509881</v>
      </c>
      <c r="D45">
        <v>314.14999999999998</v>
      </c>
      <c r="E45">
        <v>315.47386363636372</v>
      </c>
      <c r="F45">
        <f>_xlfn.STDEV.S(D$2:D45)</f>
        <v>2.6136157044867869</v>
      </c>
      <c r="I45">
        <f t="shared" si="0"/>
        <v>314.70160373751736</v>
      </c>
      <c r="J45">
        <f t="shared" si="1"/>
        <v>316.24612353521007</v>
      </c>
    </row>
    <row r="46" spans="1:10" x14ac:dyDescent="0.2">
      <c r="A46">
        <v>45</v>
      </c>
      <c r="B46">
        <v>317.17391304347831</v>
      </c>
      <c r="C46">
        <v>315.65314009661842</v>
      </c>
      <c r="D46">
        <v>318.5</v>
      </c>
      <c r="E46">
        <v>315.54111111111109</v>
      </c>
      <c r="F46">
        <f>_xlfn.STDEV.S(D$2:D46)</f>
        <v>2.6228300314235731</v>
      </c>
      <c r="I46">
        <f t="shared" si="0"/>
        <v>314.77478789689644</v>
      </c>
      <c r="J46">
        <f t="shared" si="1"/>
        <v>316.30743432532574</v>
      </c>
    </row>
    <row r="47" spans="1:10" x14ac:dyDescent="0.2">
      <c r="A47">
        <v>46</v>
      </c>
      <c r="B47">
        <v>318.78260869565219</v>
      </c>
      <c r="C47">
        <v>315.7211720226843</v>
      </c>
      <c r="D47">
        <v>319.5</v>
      </c>
      <c r="E47">
        <v>315.62717391304352</v>
      </c>
      <c r="F47">
        <f>_xlfn.STDEV.S(D$2:D47)</f>
        <v>2.6583977321716676</v>
      </c>
      <c r="I47">
        <f t="shared" si="0"/>
        <v>314.85894768037673</v>
      </c>
      <c r="J47">
        <f t="shared" si="1"/>
        <v>316.39540014571031</v>
      </c>
    </row>
    <row r="48" spans="1:10" x14ac:dyDescent="0.2">
      <c r="A48">
        <v>47</v>
      </c>
      <c r="B48">
        <v>315</v>
      </c>
      <c r="C48">
        <v>315.70582793709531</v>
      </c>
      <c r="D48">
        <v>314.64999999999998</v>
      </c>
      <c r="E48">
        <v>315.60638297872339</v>
      </c>
      <c r="F48">
        <f>_xlfn.STDEV.S(D$2:D48)</f>
        <v>2.6332038887454172</v>
      </c>
      <c r="I48">
        <f t="shared" si="0"/>
        <v>314.85357597680849</v>
      </c>
      <c r="J48">
        <f t="shared" si="1"/>
        <v>316.35918998063829</v>
      </c>
    </row>
    <row r="49" spans="1:10" x14ac:dyDescent="0.2">
      <c r="A49">
        <v>48</v>
      </c>
      <c r="B49">
        <v>316.39130434782612</v>
      </c>
      <c r="C49">
        <v>315.72010869565219</v>
      </c>
      <c r="D49">
        <v>315.10000000000002</v>
      </c>
      <c r="E49">
        <v>315.59583333333342</v>
      </c>
      <c r="F49">
        <f>_xlfn.STDEV.S(D$2:D49)</f>
        <v>2.6060656197003951</v>
      </c>
      <c r="I49">
        <f t="shared" si="0"/>
        <v>314.85858666400355</v>
      </c>
      <c r="J49">
        <f t="shared" si="1"/>
        <v>316.33308000266328</v>
      </c>
    </row>
    <row r="50" spans="1:10" x14ac:dyDescent="0.2">
      <c r="A50">
        <v>49</v>
      </c>
      <c r="B50">
        <v>313.04347826086962</v>
      </c>
      <c r="C50">
        <v>315.66548358473818</v>
      </c>
      <c r="D50">
        <v>312.5</v>
      </c>
      <c r="E50">
        <v>315.53265306122449</v>
      </c>
      <c r="F50">
        <f>_xlfn.STDEV.S(D$2:D50)</f>
        <v>2.6164255001736985</v>
      </c>
      <c r="I50">
        <f t="shared" si="0"/>
        <v>314.80006738285698</v>
      </c>
      <c r="J50">
        <f t="shared" si="1"/>
        <v>316.26523873959201</v>
      </c>
    </row>
    <row r="51" spans="1:10" x14ac:dyDescent="0.2">
      <c r="A51">
        <v>50</v>
      </c>
      <c r="B51">
        <v>313.91304347826087</v>
      </c>
      <c r="C51">
        <v>315.63043478260869</v>
      </c>
      <c r="D51">
        <v>313.5</v>
      </c>
      <c r="E51">
        <v>315.49200000000002</v>
      </c>
      <c r="F51">
        <f>_xlfn.STDEV.S(D$2:D51)</f>
        <v>2.6054957615135961</v>
      </c>
      <c r="I51">
        <f t="shared" si="0"/>
        <v>314.76980669195831</v>
      </c>
      <c r="J51">
        <f t="shared" si="1"/>
        <v>316.21419330804173</v>
      </c>
    </row>
    <row r="52" spans="1:10" x14ac:dyDescent="0.2">
      <c r="A52">
        <v>51</v>
      </c>
      <c r="B52">
        <v>322.69565217391312</v>
      </c>
      <c r="C52">
        <v>315.76896845694802</v>
      </c>
      <c r="D52">
        <v>323</v>
      </c>
      <c r="E52">
        <v>315.6392156862745</v>
      </c>
      <c r="F52">
        <f>_xlfn.STDEV.S(D$2:D52)</f>
        <v>2.7853422361621964</v>
      </c>
      <c r="I52">
        <f t="shared" si="0"/>
        <v>314.87477891817963</v>
      </c>
      <c r="J52">
        <f t="shared" si="1"/>
        <v>316.40365245436936</v>
      </c>
    </row>
    <row r="53" spans="1:10" x14ac:dyDescent="0.2">
      <c r="A53">
        <v>52</v>
      </c>
      <c r="B53">
        <v>318.56521739130437</v>
      </c>
      <c r="C53">
        <v>315.82274247491642</v>
      </c>
      <c r="D53">
        <v>318</v>
      </c>
      <c r="E53">
        <v>315.68461538461543</v>
      </c>
      <c r="F53">
        <f>_xlfn.STDEV.S(D$2:D53)</f>
        <v>2.7772630493435218</v>
      </c>
      <c r="I53">
        <f t="shared" si="0"/>
        <v>314.92976055986929</v>
      </c>
      <c r="J53">
        <f t="shared" si="1"/>
        <v>316.43947020936156</v>
      </c>
    </row>
    <row r="54" spans="1:10" x14ac:dyDescent="0.2">
      <c r="A54">
        <v>53</v>
      </c>
      <c r="B54">
        <v>318.56521739130437</v>
      </c>
      <c r="C54">
        <v>315.87448728465961</v>
      </c>
      <c r="D54">
        <v>317.60000000000002</v>
      </c>
      <c r="E54">
        <v>315.72075471698122</v>
      </c>
      <c r="F54">
        <f>_xlfn.STDEV.S(D$2:D54)</f>
        <v>2.7629839284149407</v>
      </c>
      <c r="I54">
        <f t="shared" si="0"/>
        <v>314.97689932579681</v>
      </c>
      <c r="J54">
        <f t="shared" si="1"/>
        <v>316.46461010816563</v>
      </c>
    </row>
    <row r="55" spans="1:10" x14ac:dyDescent="0.2">
      <c r="A55">
        <v>54</v>
      </c>
      <c r="B55">
        <v>314.13043478260869</v>
      </c>
      <c r="C55">
        <v>315.84219001610302</v>
      </c>
      <c r="D55">
        <v>314.64999999999998</v>
      </c>
      <c r="E55">
        <v>315.7009259259259</v>
      </c>
      <c r="F55">
        <f>_xlfn.STDEV.S(D$2:D55)</f>
        <v>2.7406701208628963</v>
      </c>
      <c r="I55">
        <f t="shared" si="0"/>
        <v>314.96994174902096</v>
      </c>
      <c r="J55">
        <f t="shared" si="1"/>
        <v>316.43191010283084</v>
      </c>
    </row>
    <row r="56" spans="1:10" x14ac:dyDescent="0.2">
      <c r="A56">
        <v>55</v>
      </c>
      <c r="B56">
        <v>318.91304347826087</v>
      </c>
      <c r="C56">
        <v>315.89802371541498</v>
      </c>
      <c r="D56">
        <v>318.25</v>
      </c>
      <c r="E56">
        <v>315.74727272727267</v>
      </c>
      <c r="F56">
        <f>_xlfn.STDEV.S(D$2:D56)</f>
        <v>2.7368442590539388</v>
      </c>
      <c r="I56">
        <f t="shared" si="0"/>
        <v>315.02397544924344</v>
      </c>
      <c r="J56">
        <f t="shared" si="1"/>
        <v>316.47057000530191</v>
      </c>
    </row>
    <row r="57" spans="1:10" x14ac:dyDescent="0.2">
      <c r="A57">
        <v>56</v>
      </c>
      <c r="B57">
        <v>313.13043478260869</v>
      </c>
      <c r="C57">
        <v>315.84860248447211</v>
      </c>
      <c r="D57">
        <v>313.35000000000002</v>
      </c>
      <c r="E57">
        <v>315.70446428571432</v>
      </c>
      <c r="F57">
        <f>_xlfn.STDEV.S(D$2:D57)</f>
        <v>2.730705483032716</v>
      </c>
      <c r="I57">
        <f t="shared" si="0"/>
        <v>314.98926192404849</v>
      </c>
      <c r="J57">
        <f t="shared" si="1"/>
        <v>316.41966664738015</v>
      </c>
    </row>
    <row r="58" spans="1:10" x14ac:dyDescent="0.2">
      <c r="A58">
        <v>57</v>
      </c>
      <c r="B58">
        <v>319</v>
      </c>
      <c r="C58">
        <v>315.9038901601831</v>
      </c>
      <c r="D58">
        <v>318.75</v>
      </c>
      <c r="E58">
        <v>315.7578947368421</v>
      </c>
      <c r="F58">
        <f>_xlfn.STDEV.S(D$2:D58)</f>
        <v>2.7361141220208296</v>
      </c>
      <c r="I58">
        <f t="shared" si="0"/>
        <v>315.0475897384041</v>
      </c>
      <c r="J58">
        <f t="shared" si="1"/>
        <v>316.46819973528011</v>
      </c>
    </row>
    <row r="59" spans="1:10" x14ac:dyDescent="0.2">
      <c r="A59">
        <v>58</v>
      </c>
      <c r="B59">
        <v>317.39130434782612</v>
      </c>
      <c r="C59">
        <v>315.92953523238378</v>
      </c>
      <c r="D59">
        <v>317.25</v>
      </c>
      <c r="E59">
        <v>315.78362068965521</v>
      </c>
      <c r="F59">
        <f>_xlfn.STDEV.S(D$2:D59)</f>
        <v>2.7190747254114678</v>
      </c>
      <c r="I59">
        <f t="shared" si="0"/>
        <v>315.08385082269632</v>
      </c>
      <c r="J59">
        <f t="shared" si="1"/>
        <v>316.4833905566141</v>
      </c>
    </row>
    <row r="60" spans="1:10" x14ac:dyDescent="0.2">
      <c r="A60">
        <v>59</v>
      </c>
      <c r="B60">
        <v>313.69565217391312</v>
      </c>
      <c r="C60">
        <v>315.89167280766401</v>
      </c>
      <c r="D60">
        <v>311.64999999999998</v>
      </c>
      <c r="E60">
        <v>315.71355932203392</v>
      </c>
      <c r="F60">
        <f>_xlfn.STDEV.S(D$2:D60)</f>
        <v>2.7487274564861686</v>
      </c>
      <c r="I60">
        <f t="shared" si="0"/>
        <v>315.01217869538402</v>
      </c>
      <c r="J60">
        <f t="shared" si="1"/>
        <v>316.41493994868381</v>
      </c>
    </row>
    <row r="61" spans="1:10" x14ac:dyDescent="0.2">
      <c r="A61">
        <v>60</v>
      </c>
      <c r="B61">
        <v>316.95652173913038</v>
      </c>
      <c r="C61">
        <v>315.90942028985512</v>
      </c>
      <c r="D61">
        <v>316.25</v>
      </c>
      <c r="E61">
        <v>315.72250000000003</v>
      </c>
      <c r="F61">
        <f>_xlfn.STDEV.S(D$2:D61)</f>
        <v>2.7262133824738792</v>
      </c>
      <c r="I61">
        <f t="shared" si="0"/>
        <v>315.03268551253882</v>
      </c>
      <c r="J61">
        <f t="shared" si="1"/>
        <v>316.41231448746123</v>
      </c>
    </row>
    <row r="62" spans="1:10" x14ac:dyDescent="0.2">
      <c r="A62">
        <v>61</v>
      </c>
      <c r="B62">
        <v>316.82608695652169</v>
      </c>
      <c r="C62">
        <v>315.92444761225948</v>
      </c>
      <c r="D62">
        <v>316.10000000000002</v>
      </c>
      <c r="E62">
        <v>315.72868852459021</v>
      </c>
      <c r="F62">
        <f>_xlfn.STDEV.S(D$2:D62)</f>
        <v>2.7038315254528706</v>
      </c>
      <c r="I62">
        <f t="shared" si="0"/>
        <v>315.0501682941167</v>
      </c>
      <c r="J62">
        <f t="shared" si="1"/>
        <v>316.40720875506372</v>
      </c>
    </row>
    <row r="63" spans="1:10" x14ac:dyDescent="0.2">
      <c r="A63">
        <v>62</v>
      </c>
      <c r="B63">
        <v>311.30434782608688</v>
      </c>
      <c r="C63">
        <v>315.84992987377279</v>
      </c>
      <c r="D63">
        <v>312.39999999999998</v>
      </c>
      <c r="E63">
        <v>315.67500000000001</v>
      </c>
      <c r="F63">
        <f>_xlfn.STDEV.S(D$2:D63)</f>
        <v>2.7146951342887773</v>
      </c>
      <c r="I63">
        <f t="shared" si="0"/>
        <v>314.99926982835854</v>
      </c>
      <c r="J63">
        <f t="shared" si="1"/>
        <v>316.35073017164149</v>
      </c>
    </row>
    <row r="64" spans="1:10" x14ac:dyDescent="0.2">
      <c r="A64">
        <v>63</v>
      </c>
      <c r="B64">
        <v>310.73913043478262</v>
      </c>
      <c r="C64">
        <v>315.76880607315388</v>
      </c>
      <c r="D64">
        <v>311</v>
      </c>
      <c r="E64">
        <v>315.60079365079361</v>
      </c>
      <c r="F64">
        <f>_xlfn.STDEV.S(D$2:D64)</f>
        <v>2.7563781176937572</v>
      </c>
      <c r="I64">
        <f t="shared" si="0"/>
        <v>314.92015499617514</v>
      </c>
      <c r="J64">
        <f t="shared" si="1"/>
        <v>316.28143230541207</v>
      </c>
    </row>
    <row r="65" spans="1:10" x14ac:dyDescent="0.2">
      <c r="A65">
        <v>64</v>
      </c>
      <c r="B65">
        <v>314.43478260869563</v>
      </c>
      <c r="C65">
        <v>315.74796195652169</v>
      </c>
      <c r="D65">
        <v>312.75</v>
      </c>
      <c r="E65">
        <v>315.55624999999998</v>
      </c>
      <c r="F65">
        <f>_xlfn.STDEV.S(D$2:D65)</f>
        <v>2.7575365702938455</v>
      </c>
      <c r="I65">
        <f t="shared" si="0"/>
        <v>314.88066595452148</v>
      </c>
      <c r="J65">
        <f t="shared" si="1"/>
        <v>316.23183404547848</v>
      </c>
    </row>
    <row r="66" spans="1:10" x14ac:dyDescent="0.2">
      <c r="A66">
        <v>65</v>
      </c>
      <c r="B66">
        <v>315.6521739130435</v>
      </c>
      <c r="C66">
        <v>315.74648829431442</v>
      </c>
      <c r="D66">
        <v>315.75</v>
      </c>
      <c r="E66">
        <v>315.55923076923068</v>
      </c>
      <c r="F66">
        <f>_xlfn.STDEV.S(D$2:D66)</f>
        <v>2.7360140417290388</v>
      </c>
      <c r="I66">
        <f t="shared" si="0"/>
        <v>314.89409587148862</v>
      </c>
      <c r="J66">
        <f t="shared" si="1"/>
        <v>316.22436566697274</v>
      </c>
    </row>
    <row r="67" spans="1:10" x14ac:dyDescent="0.2">
      <c r="A67">
        <v>66</v>
      </c>
      <c r="B67">
        <v>317.17391304347831</v>
      </c>
      <c r="C67">
        <v>315.768115942029</v>
      </c>
      <c r="D67">
        <v>317.39999999999998</v>
      </c>
      <c r="E67">
        <v>315.58712121212119</v>
      </c>
      <c r="F67">
        <f>_xlfn.STDEV.S(D$2:D67)</f>
        <v>2.724325048465579</v>
      </c>
      <c r="I67">
        <f t="shared" ref="I67:I101" si="2">E67-(NORMINV(0.975,0,1)*F67/SQRT(A67))</f>
        <v>314.92986447461908</v>
      </c>
      <c r="J67">
        <f t="shared" ref="J67:J101" si="3">E67+(NORMINV(0.975,0,1)*F67/SQRT(A67))</f>
        <v>316.2443779496233</v>
      </c>
    </row>
    <row r="68" spans="1:10" x14ac:dyDescent="0.2">
      <c r="A68">
        <v>67</v>
      </c>
      <c r="B68">
        <v>318.47826086956519</v>
      </c>
      <c r="C68">
        <v>315.80856586632058</v>
      </c>
      <c r="D68">
        <v>317.14999999999998</v>
      </c>
      <c r="E68">
        <v>315.61044776119411</v>
      </c>
      <c r="F68">
        <f>_xlfn.STDEV.S(D$2:D68)</f>
        <v>2.7103412693740609</v>
      </c>
      <c r="I68">
        <f t="shared" si="2"/>
        <v>314.96146274835019</v>
      </c>
      <c r="J68">
        <f t="shared" si="3"/>
        <v>316.25943277403803</v>
      </c>
    </row>
    <row r="69" spans="1:10" x14ac:dyDescent="0.2">
      <c r="A69">
        <v>68</v>
      </c>
      <c r="B69">
        <v>317.39130434782612</v>
      </c>
      <c r="C69">
        <v>315.83184143222508</v>
      </c>
      <c r="D69">
        <v>317.5</v>
      </c>
      <c r="E69">
        <v>315.63823529411769</v>
      </c>
      <c r="F69">
        <f>_xlfn.STDEV.S(D$2:D69)</f>
        <v>2.6997805002963697</v>
      </c>
      <c r="I69">
        <f t="shared" si="2"/>
        <v>314.99654999337406</v>
      </c>
      <c r="J69">
        <f t="shared" si="3"/>
        <v>316.27992059486132</v>
      </c>
    </row>
    <row r="70" spans="1:10" x14ac:dyDescent="0.2">
      <c r="A70">
        <v>69</v>
      </c>
      <c r="B70">
        <v>314.56521739130437</v>
      </c>
      <c r="C70">
        <v>315.81348456206678</v>
      </c>
      <c r="D70">
        <v>315.39999999999998</v>
      </c>
      <c r="E70">
        <v>315.63478260869562</v>
      </c>
      <c r="F70">
        <f>_xlfn.STDEV.S(D$2:D70)</f>
        <v>2.6800091136234716</v>
      </c>
      <c r="I70">
        <f t="shared" si="2"/>
        <v>315.00242926904457</v>
      </c>
      <c r="J70">
        <f t="shared" si="3"/>
        <v>316.26713594834666</v>
      </c>
    </row>
    <row r="71" spans="1:10" x14ac:dyDescent="0.2">
      <c r="A71">
        <v>70</v>
      </c>
      <c r="B71">
        <v>313.56521739130437</v>
      </c>
      <c r="C71">
        <v>315.78136645962729</v>
      </c>
      <c r="D71">
        <v>313.85000000000002</v>
      </c>
      <c r="E71">
        <v>315.60928571428582</v>
      </c>
      <c r="F71">
        <f>_xlfn.STDEV.S(D$2:D71)</f>
        <v>2.6690563503310001</v>
      </c>
      <c r="I71">
        <f t="shared" si="2"/>
        <v>314.98403123176587</v>
      </c>
      <c r="J71">
        <f t="shared" si="3"/>
        <v>316.23454019680577</v>
      </c>
    </row>
    <row r="72" spans="1:10" x14ac:dyDescent="0.2">
      <c r="A72">
        <v>71</v>
      </c>
      <c r="B72">
        <v>316.17391304347831</v>
      </c>
      <c r="C72">
        <v>315.78689528475201</v>
      </c>
      <c r="D72">
        <v>317.10000000000002</v>
      </c>
      <c r="E72">
        <v>315.63028169014092</v>
      </c>
      <c r="F72">
        <f>_xlfn.STDEV.S(D$2:D72)</f>
        <v>2.6558221604784724</v>
      </c>
      <c r="I72">
        <f t="shared" si="2"/>
        <v>315.0125243603992</v>
      </c>
      <c r="J72">
        <f t="shared" si="3"/>
        <v>316.24803901988264</v>
      </c>
    </row>
    <row r="73" spans="1:10" x14ac:dyDescent="0.2">
      <c r="A73">
        <v>72</v>
      </c>
      <c r="B73">
        <v>315.6521739130435</v>
      </c>
      <c r="C73">
        <v>315.78502415458939</v>
      </c>
      <c r="D73">
        <v>314.25</v>
      </c>
      <c r="E73">
        <v>315.61111111111109</v>
      </c>
      <c r="F73">
        <f>_xlfn.STDEV.S(D$2:D73)</f>
        <v>2.6420652163031022</v>
      </c>
      <c r="I73">
        <f t="shared" si="2"/>
        <v>315.00083639653514</v>
      </c>
      <c r="J73">
        <f t="shared" si="3"/>
        <v>316.22138582568704</v>
      </c>
    </row>
    <row r="74" spans="1:10" x14ac:dyDescent="0.2">
      <c r="A74">
        <v>73</v>
      </c>
      <c r="B74">
        <v>312.60869565217388</v>
      </c>
      <c r="C74">
        <v>315.7415128052412</v>
      </c>
      <c r="D74">
        <v>311.64999999999998</v>
      </c>
      <c r="E74">
        <v>315.55684931506852</v>
      </c>
      <c r="F74">
        <f>_xlfn.STDEV.S(D$2:D74)</f>
        <v>2.6642999271813785</v>
      </c>
      <c r="I74">
        <f t="shared" si="2"/>
        <v>314.94566841476166</v>
      </c>
      <c r="J74">
        <f t="shared" si="3"/>
        <v>316.16803021537538</v>
      </c>
    </row>
    <row r="75" spans="1:10" x14ac:dyDescent="0.2">
      <c r="A75">
        <v>74</v>
      </c>
      <c r="B75">
        <v>315.86956521739131</v>
      </c>
      <c r="C75">
        <v>315.74324324324323</v>
      </c>
      <c r="D75">
        <v>316.25</v>
      </c>
      <c r="E75">
        <v>315.56621621621622</v>
      </c>
      <c r="F75">
        <f>_xlfn.STDEV.S(D$2:D75)</f>
        <v>2.6472149762896757</v>
      </c>
      <c r="I75">
        <f t="shared" si="2"/>
        <v>314.96307161847113</v>
      </c>
      <c r="J75">
        <f t="shared" si="3"/>
        <v>316.1693608139613</v>
      </c>
    </row>
    <row r="76" spans="1:10" x14ac:dyDescent="0.2">
      <c r="A76">
        <v>75</v>
      </c>
      <c r="B76">
        <v>316.52173913043481</v>
      </c>
      <c r="C76">
        <v>315.75362318840581</v>
      </c>
      <c r="D76">
        <v>317.75</v>
      </c>
      <c r="E76">
        <v>315.59533333333337</v>
      </c>
      <c r="F76">
        <f>_xlfn.STDEV.S(D$2:D76)</f>
        <v>2.6413317348135852</v>
      </c>
      <c r="I76">
        <f t="shared" si="2"/>
        <v>314.9975546713178</v>
      </c>
      <c r="J76">
        <f t="shared" si="3"/>
        <v>316.19311199534894</v>
      </c>
    </row>
    <row r="77" spans="1:10" x14ac:dyDescent="0.2">
      <c r="A77">
        <v>76</v>
      </c>
      <c r="B77">
        <v>311.82608695652169</v>
      </c>
      <c r="C77">
        <v>315.70194508009149</v>
      </c>
      <c r="D77">
        <v>309.85000000000002</v>
      </c>
      <c r="E77">
        <v>315.51973684210532</v>
      </c>
      <c r="F77">
        <f>_xlfn.STDEV.S(D$2:D77)</f>
        <v>2.7051688665388767</v>
      </c>
      <c r="I77">
        <f t="shared" si="2"/>
        <v>314.91155188310643</v>
      </c>
      <c r="J77">
        <f t="shared" si="3"/>
        <v>316.12792180110421</v>
      </c>
    </row>
    <row r="78" spans="1:10" x14ac:dyDescent="0.2">
      <c r="A78">
        <v>77</v>
      </c>
      <c r="B78">
        <v>313.78260869565219</v>
      </c>
      <c r="C78">
        <v>315.67701863354029</v>
      </c>
      <c r="D78">
        <v>313.25</v>
      </c>
      <c r="E78">
        <v>315.49025974025972</v>
      </c>
      <c r="F78">
        <f>_xlfn.STDEV.S(D$2:D78)</f>
        <v>2.6997324302243744</v>
      </c>
      <c r="I78">
        <f t="shared" si="2"/>
        <v>314.8872512153776</v>
      </c>
      <c r="J78">
        <f t="shared" si="3"/>
        <v>316.09326826514183</v>
      </c>
    </row>
    <row r="79" spans="1:10" x14ac:dyDescent="0.2">
      <c r="A79">
        <v>78</v>
      </c>
      <c r="B79">
        <v>316.08695652173913</v>
      </c>
      <c r="C79">
        <v>315.68227424749159</v>
      </c>
      <c r="D79">
        <v>313.89999999999998</v>
      </c>
      <c r="E79">
        <v>315.46987179487178</v>
      </c>
      <c r="F79">
        <f>_xlfn.STDEV.S(D$2:D79)</f>
        <v>2.6881816833262531</v>
      </c>
      <c r="I79">
        <f t="shared" si="2"/>
        <v>314.87330454594326</v>
      </c>
      <c r="J79">
        <f t="shared" si="3"/>
        <v>316.0664390438003</v>
      </c>
    </row>
    <row r="80" spans="1:10" x14ac:dyDescent="0.2">
      <c r="A80">
        <v>79</v>
      </c>
      <c r="B80">
        <v>318.26086956521738</v>
      </c>
      <c r="C80">
        <v>315.71491469455151</v>
      </c>
      <c r="D80">
        <v>317.89999999999998</v>
      </c>
      <c r="E80">
        <v>315.50063291139242</v>
      </c>
      <c r="F80">
        <f>_xlfn.STDEV.S(D$2:D80)</f>
        <v>2.6848517801672145</v>
      </c>
      <c r="I80">
        <f t="shared" si="2"/>
        <v>314.90858771684714</v>
      </c>
      <c r="J80">
        <f t="shared" si="3"/>
        <v>316.09267810593769</v>
      </c>
    </row>
    <row r="81" spans="1:10" x14ac:dyDescent="0.2">
      <c r="A81">
        <v>80</v>
      </c>
      <c r="B81">
        <v>314.21739130434781</v>
      </c>
      <c r="C81">
        <v>315.69619565217391</v>
      </c>
      <c r="D81">
        <v>313.85000000000002</v>
      </c>
      <c r="E81">
        <v>315.48</v>
      </c>
      <c r="F81">
        <f>_xlfn.STDEV.S(D$2:D81)</f>
        <v>2.6741803428955797</v>
      </c>
      <c r="I81">
        <f t="shared" si="2"/>
        <v>314.89400516297133</v>
      </c>
      <c r="J81">
        <f t="shared" si="3"/>
        <v>316.06599483702871</v>
      </c>
    </row>
    <row r="82" spans="1:10" x14ac:dyDescent="0.2">
      <c r="A82">
        <v>81</v>
      </c>
      <c r="B82">
        <v>317.82608695652169</v>
      </c>
      <c r="C82">
        <v>315.7224906065486</v>
      </c>
      <c r="D82">
        <v>317.25</v>
      </c>
      <c r="E82">
        <v>315.50185185185188</v>
      </c>
      <c r="F82">
        <f>_xlfn.STDEV.S(D$2:D82)</f>
        <v>2.6646815527897099</v>
      </c>
      <c r="I82">
        <f t="shared" si="2"/>
        <v>314.92155408810345</v>
      </c>
      <c r="J82">
        <f t="shared" si="3"/>
        <v>316.08214961560031</v>
      </c>
    </row>
    <row r="83" spans="1:10" x14ac:dyDescent="0.2">
      <c r="A83">
        <v>82</v>
      </c>
      <c r="B83">
        <v>314.3478260869565</v>
      </c>
      <c r="C83">
        <v>315.70572640509022</v>
      </c>
      <c r="D83">
        <v>313.89999999999998</v>
      </c>
      <c r="E83">
        <v>315.48231707317069</v>
      </c>
      <c r="F83">
        <f>_xlfn.STDEV.S(D$2:D83)</f>
        <v>2.6540834128604458</v>
      </c>
      <c r="I83">
        <f t="shared" si="2"/>
        <v>314.90786244514351</v>
      </c>
      <c r="J83">
        <f t="shared" si="3"/>
        <v>316.05677170119787</v>
      </c>
    </row>
    <row r="84" spans="1:10" x14ac:dyDescent="0.2">
      <c r="A84">
        <v>83</v>
      </c>
      <c r="B84">
        <v>316.17391304347831</v>
      </c>
      <c r="C84">
        <v>315.71136720796233</v>
      </c>
      <c r="D84">
        <v>316.25</v>
      </c>
      <c r="E84">
        <v>315.49156626506021</v>
      </c>
      <c r="F84">
        <f>_xlfn.STDEV.S(D$2:D84)</f>
        <v>2.6391958688149746</v>
      </c>
      <c r="I84">
        <f t="shared" si="2"/>
        <v>314.92378551060023</v>
      </c>
      <c r="J84">
        <f t="shared" si="3"/>
        <v>316.0593470195202</v>
      </c>
    </row>
    <row r="85" spans="1:10" x14ac:dyDescent="0.2">
      <c r="A85">
        <v>84</v>
      </c>
      <c r="B85">
        <v>317.91304347826087</v>
      </c>
      <c r="C85">
        <v>315.73757763975158</v>
      </c>
      <c r="D85">
        <v>317.60000000000002</v>
      </c>
      <c r="E85">
        <v>315.51666666666671</v>
      </c>
      <c r="F85">
        <f>_xlfn.STDEV.S(D$2:D85)</f>
        <v>2.6333168114981689</v>
      </c>
      <c r="I85">
        <f t="shared" si="2"/>
        <v>314.95353291242219</v>
      </c>
      <c r="J85">
        <f t="shared" si="3"/>
        <v>316.07980042091123</v>
      </c>
    </row>
    <row r="86" spans="1:10" x14ac:dyDescent="0.2">
      <c r="A86">
        <v>85</v>
      </c>
      <c r="B86">
        <v>318.91304347826087</v>
      </c>
      <c r="C86">
        <v>315.77493606138108</v>
      </c>
      <c r="D86">
        <v>318.14999999999998</v>
      </c>
      <c r="E86">
        <v>315.54764705882349</v>
      </c>
      <c r="F86">
        <f>_xlfn.STDEV.S(D$2:D86)</f>
        <v>2.6331325934904917</v>
      </c>
      <c r="I86">
        <f t="shared" si="2"/>
        <v>314.9878748191357</v>
      </c>
      <c r="J86">
        <f t="shared" si="3"/>
        <v>316.10741929851127</v>
      </c>
    </row>
    <row r="87" spans="1:10" x14ac:dyDescent="0.2">
      <c r="A87">
        <v>86</v>
      </c>
      <c r="B87">
        <v>313.69565217391312</v>
      </c>
      <c r="C87">
        <v>315.75075834175942</v>
      </c>
      <c r="D87">
        <v>312.39999999999998</v>
      </c>
      <c r="E87">
        <v>315.51104651162791</v>
      </c>
      <c r="F87">
        <f>_xlfn.STDEV.S(D$2:D87)</f>
        <v>2.6395119999369627</v>
      </c>
      <c r="I87">
        <f t="shared" si="2"/>
        <v>314.95319000080093</v>
      </c>
      <c r="J87">
        <f t="shared" si="3"/>
        <v>316.06890302245489</v>
      </c>
    </row>
    <row r="88" spans="1:10" x14ac:dyDescent="0.2">
      <c r="A88">
        <v>87</v>
      </c>
      <c r="B88">
        <v>315.43478260869563</v>
      </c>
      <c r="C88">
        <v>315.74712643678163</v>
      </c>
      <c r="D88">
        <v>316.25</v>
      </c>
      <c r="E88">
        <v>315.51954022988508</v>
      </c>
      <c r="F88">
        <f>_xlfn.STDEV.S(D$2:D88)</f>
        <v>2.6253167729335956</v>
      </c>
      <c r="I88">
        <f t="shared" si="2"/>
        <v>314.96788190296689</v>
      </c>
      <c r="J88">
        <f t="shared" si="3"/>
        <v>316.07119855680327</v>
      </c>
    </row>
    <row r="89" spans="1:10" x14ac:dyDescent="0.2">
      <c r="A89">
        <v>88</v>
      </c>
      <c r="B89">
        <v>312.91304347826087</v>
      </c>
      <c r="C89">
        <v>315.71492094861662</v>
      </c>
      <c r="D89">
        <v>311.35000000000002</v>
      </c>
      <c r="E89">
        <v>315.47215909090909</v>
      </c>
      <c r="F89">
        <f>_xlfn.STDEV.S(D$2:D89)</f>
        <v>2.6477583009738974</v>
      </c>
      <c r="I89">
        <f t="shared" si="2"/>
        <v>314.91895536917002</v>
      </c>
      <c r="J89">
        <f t="shared" si="3"/>
        <v>316.02536281264815</v>
      </c>
    </row>
    <row r="90" spans="1:10" x14ac:dyDescent="0.2">
      <c r="A90">
        <v>89</v>
      </c>
      <c r="B90">
        <v>315.08695652173913</v>
      </c>
      <c r="C90">
        <v>315.70786516853929</v>
      </c>
      <c r="D90">
        <v>314.85000000000002</v>
      </c>
      <c r="E90">
        <v>315.46516853932587</v>
      </c>
      <c r="F90">
        <f>_xlfn.STDEV.S(D$2:D90)</f>
        <v>2.6334971185753058</v>
      </c>
      <c r="I90">
        <f t="shared" si="2"/>
        <v>314.91804432595865</v>
      </c>
      <c r="J90">
        <f t="shared" si="3"/>
        <v>316.0122927526931</v>
      </c>
    </row>
    <row r="91" spans="1:10" x14ac:dyDescent="0.2">
      <c r="A91">
        <v>90</v>
      </c>
      <c r="B91">
        <v>318.13043478260869</v>
      </c>
      <c r="C91">
        <v>315.73478260869558</v>
      </c>
      <c r="D91">
        <v>319.60000000000002</v>
      </c>
      <c r="E91">
        <v>315.51111111111112</v>
      </c>
      <c r="F91">
        <f>_xlfn.STDEV.S(D$2:D91)</f>
        <v>2.6546839861210021</v>
      </c>
      <c r="I91">
        <f t="shared" si="2"/>
        <v>314.9626577954657</v>
      </c>
      <c r="J91">
        <f t="shared" si="3"/>
        <v>316.05956442675654</v>
      </c>
    </row>
    <row r="92" spans="1:10" x14ac:dyDescent="0.2">
      <c r="A92">
        <v>91</v>
      </c>
      <c r="B92">
        <v>314.78260869565219</v>
      </c>
      <c r="C92">
        <v>315.72431915910181</v>
      </c>
      <c r="D92">
        <v>313.39999999999998</v>
      </c>
      <c r="E92">
        <v>315.48791208791209</v>
      </c>
      <c r="F92">
        <f>_xlfn.STDEV.S(D$2:D92)</f>
        <v>2.6491543793291727</v>
      </c>
      <c r="I92">
        <f t="shared" si="2"/>
        <v>314.94361668991826</v>
      </c>
      <c r="J92">
        <f t="shared" si="3"/>
        <v>316.03220748590593</v>
      </c>
    </row>
    <row r="93" spans="1:10" x14ac:dyDescent="0.2">
      <c r="A93">
        <v>92</v>
      </c>
      <c r="B93">
        <v>317.91304347826087</v>
      </c>
      <c r="C93">
        <v>315.74810964083167</v>
      </c>
      <c r="D93">
        <v>318.85000000000002</v>
      </c>
      <c r="E93">
        <v>315.52445652173913</v>
      </c>
      <c r="F93">
        <f>_xlfn.STDEV.S(D$2:D93)</f>
        <v>2.6577741509859933</v>
      </c>
      <c r="I93">
        <f t="shared" si="2"/>
        <v>314.98136596594583</v>
      </c>
      <c r="J93">
        <f t="shared" si="3"/>
        <v>316.06754707753242</v>
      </c>
    </row>
    <row r="94" spans="1:10" x14ac:dyDescent="0.2">
      <c r="A94">
        <v>93</v>
      </c>
      <c r="B94">
        <v>316.08695652173913</v>
      </c>
      <c r="C94">
        <v>315.75175315568021</v>
      </c>
      <c r="D94">
        <v>316.39999999999998</v>
      </c>
      <c r="E94">
        <v>315.53387096774202</v>
      </c>
      <c r="F94">
        <f>_xlfn.STDEV.S(D$2:D94)</f>
        <v>2.6448489856857149</v>
      </c>
      <c r="I94">
        <f t="shared" si="2"/>
        <v>314.99633504022182</v>
      </c>
      <c r="J94">
        <f t="shared" si="3"/>
        <v>316.07140689526221</v>
      </c>
    </row>
    <row r="95" spans="1:10" x14ac:dyDescent="0.2">
      <c r="A95">
        <v>94</v>
      </c>
      <c r="B95">
        <v>317.60869565217388</v>
      </c>
      <c r="C95">
        <v>315.77150786308982</v>
      </c>
      <c r="D95">
        <v>317.64999999999998</v>
      </c>
      <c r="E95">
        <v>315.55638297872338</v>
      </c>
      <c r="F95">
        <f>_xlfn.STDEV.S(D$2:D95)</f>
        <v>2.6396300861172062</v>
      </c>
      <c r="I95">
        <f t="shared" si="2"/>
        <v>315.02276895578177</v>
      </c>
      <c r="J95">
        <f t="shared" si="3"/>
        <v>316.08999700166498</v>
      </c>
    </row>
    <row r="96" spans="1:10" x14ac:dyDescent="0.2">
      <c r="A96">
        <v>95</v>
      </c>
      <c r="B96">
        <v>313.47826086956519</v>
      </c>
      <c r="C96">
        <v>315.74736842105261</v>
      </c>
      <c r="D96">
        <v>312.75</v>
      </c>
      <c r="E96">
        <v>315.52684210526309</v>
      </c>
      <c r="F96">
        <f>_xlfn.STDEV.S(D$2:D96)</f>
        <v>2.6412925040262594</v>
      </c>
      <c r="I96">
        <f t="shared" si="2"/>
        <v>314.99570971471621</v>
      </c>
      <c r="J96">
        <f t="shared" si="3"/>
        <v>316.05797449580996</v>
      </c>
    </row>
    <row r="97" spans="1:10" x14ac:dyDescent="0.2">
      <c r="A97">
        <v>96</v>
      </c>
      <c r="B97">
        <v>319</v>
      </c>
      <c r="C97">
        <v>315.78125</v>
      </c>
      <c r="D97">
        <v>319</v>
      </c>
      <c r="E97">
        <v>315.56302083333333</v>
      </c>
      <c r="F97">
        <f>_xlfn.STDEV.S(D$2:D97)</f>
        <v>2.6511590791047048</v>
      </c>
      <c r="I97">
        <f t="shared" si="2"/>
        <v>315.03268830921877</v>
      </c>
      <c r="J97">
        <f t="shared" si="3"/>
        <v>316.09335335744788</v>
      </c>
    </row>
    <row r="98" spans="1:10" x14ac:dyDescent="0.2">
      <c r="A98">
        <v>97</v>
      </c>
      <c r="B98">
        <v>315</v>
      </c>
      <c r="C98">
        <v>315.77319587628858</v>
      </c>
      <c r="D98">
        <v>316.75</v>
      </c>
      <c r="E98">
        <v>315.57525773195869</v>
      </c>
      <c r="F98">
        <f>_xlfn.STDEV.S(D$2:D98)</f>
        <v>2.6400671127768036</v>
      </c>
      <c r="I98">
        <f t="shared" si="2"/>
        <v>315.04987331054207</v>
      </c>
      <c r="J98">
        <f t="shared" si="3"/>
        <v>316.1006421533753</v>
      </c>
    </row>
    <row r="99" spans="1:10" x14ac:dyDescent="0.2">
      <c r="A99">
        <v>98</v>
      </c>
      <c r="B99">
        <v>323.3478260869565</v>
      </c>
      <c r="C99">
        <v>315.85048802129552</v>
      </c>
      <c r="D99">
        <v>323.35000000000002</v>
      </c>
      <c r="E99">
        <v>315.65459183673471</v>
      </c>
      <c r="F99">
        <f>_xlfn.STDEV.S(D$2:D99)</f>
        <v>2.7413320444771032</v>
      </c>
      <c r="I99">
        <f t="shared" si="2"/>
        <v>315.11184575612714</v>
      </c>
      <c r="J99">
        <f t="shared" si="3"/>
        <v>316.19733791734228</v>
      </c>
    </row>
    <row r="100" spans="1:10" x14ac:dyDescent="0.2">
      <c r="A100">
        <v>99</v>
      </c>
      <c r="B100">
        <v>316.52173913043481</v>
      </c>
      <c r="C100">
        <v>315.85726833552923</v>
      </c>
      <c r="D100">
        <v>315.89999999999998</v>
      </c>
      <c r="E100">
        <v>315.65707070707072</v>
      </c>
      <c r="F100">
        <f>_xlfn.STDEV.S(D$2:D100)</f>
        <v>2.7274213180163254</v>
      </c>
      <c r="I100">
        <f t="shared" si="2"/>
        <v>315.11981291319108</v>
      </c>
      <c r="J100">
        <f t="shared" si="3"/>
        <v>316.19432850095035</v>
      </c>
    </row>
    <row r="101" spans="1:10" x14ac:dyDescent="0.2">
      <c r="A101">
        <v>100</v>
      </c>
      <c r="B101">
        <v>318.78260869565219</v>
      </c>
      <c r="C101">
        <v>315.88652173913039</v>
      </c>
      <c r="D101">
        <v>318.10000000000002</v>
      </c>
      <c r="E101">
        <v>315.68150000000003</v>
      </c>
      <c r="F101">
        <f>_xlfn.STDEV.S(D$2:D101)</f>
        <v>2.724585549059054</v>
      </c>
      <c r="I101">
        <f t="shared" si="2"/>
        <v>315.14749104510463</v>
      </c>
      <c r="J101">
        <f t="shared" si="3"/>
        <v>316.21550895489543</v>
      </c>
    </row>
    <row r="103" spans="1:10" x14ac:dyDescent="0.2">
      <c r="A103" t="s">
        <v>3</v>
      </c>
      <c r="B103">
        <v>315.88652173913039</v>
      </c>
      <c r="D103">
        <v>315.68150000000003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policy_0</vt:lpstr>
      <vt:lpstr>policy_1</vt:lpstr>
      <vt:lpstr>policy_2</vt:lpstr>
      <vt:lpstr>policy_3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2026-03-13T12:35:40Z</dcterms:created>
  <dcterms:modified xsi:type="dcterms:W3CDTF">2026-03-13T13:03:23Z</dcterms:modified>
</cp:coreProperties>
</file>